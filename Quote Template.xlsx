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lejandro\Documents\GitHub\NovoNido_Summyt_Other\"/>
    </mc:Choice>
  </mc:AlternateContent>
  <xr:revisionPtr revIDLastSave="0" documentId="13_ncr:1_{C4DC20C9-7BC8-459F-85F7-BC3E2A095B1A}" xr6:coauthVersionLast="47" xr6:coauthVersionMax="47" xr10:uidLastSave="{00000000-0000-0000-0000-000000000000}"/>
  <bookViews>
    <workbookView xWindow="-110" yWindow="-110" windowWidth="29020" windowHeight="17500" xr2:uid="{DFDBE2BB-A12D-41BC-B0F1-F53F877A1C54}"/>
  </bookViews>
  <sheets>
    <sheet name="Quote Template Empty" sheetId="2" r:id="rId1"/>
    <sheet name="Quote Template Filled In"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89" i="2" l="1"/>
  <c r="L78" i="2"/>
  <c r="L63" i="2"/>
  <c r="L56" i="2"/>
  <c r="L40" i="2"/>
  <c r="L29" i="2"/>
  <c r="L20" i="2"/>
  <c r="K7" i="2"/>
  <c r="R90" i="1"/>
  <c r="R89" i="1" s="1"/>
  <c r="Q90" i="1"/>
  <c r="B90" i="1"/>
  <c r="Q89" i="1"/>
  <c r="L89" i="1"/>
  <c r="R87" i="1"/>
  <c r="Q87" i="1"/>
  <c r="Q86" i="1"/>
  <c r="R86" i="1" s="1"/>
  <c r="Q85" i="1"/>
  <c r="R85" i="1" s="1"/>
  <c r="R84" i="1"/>
  <c r="Q84" i="1"/>
  <c r="R83" i="1"/>
  <c r="Q83" i="1"/>
  <c r="R82" i="1"/>
  <c r="Q82" i="1"/>
  <c r="R81" i="1"/>
  <c r="Q81" i="1"/>
  <c r="Q80" i="1"/>
  <c r="R80" i="1" s="1"/>
  <c r="Q79" i="1"/>
  <c r="R79" i="1" s="1"/>
  <c r="R78" i="1" s="1"/>
  <c r="B79" i="1"/>
  <c r="B80" i="1" s="1"/>
  <c r="B81" i="1" s="1"/>
  <c r="B82" i="1" s="1"/>
  <c r="B83" i="1" s="1"/>
  <c r="B84" i="1" s="1"/>
  <c r="B85" i="1" s="1"/>
  <c r="B86" i="1" s="1"/>
  <c r="B87" i="1" s="1"/>
  <c r="Q78" i="1"/>
  <c r="L78" i="1"/>
  <c r="R76" i="1"/>
  <c r="Q76" i="1"/>
  <c r="Q75" i="1"/>
  <c r="R75" i="1" s="1"/>
  <c r="Q74" i="1"/>
  <c r="R74" i="1" s="1"/>
  <c r="Q73" i="1"/>
  <c r="R73" i="1" s="1"/>
  <c r="Q72" i="1"/>
  <c r="R72" i="1" s="1"/>
  <c r="Q71" i="1"/>
  <c r="R71" i="1" s="1"/>
  <c r="Q70" i="1"/>
  <c r="R70" i="1" s="1"/>
  <c r="Q69" i="1"/>
  <c r="R69" i="1" s="1"/>
  <c r="R68" i="1"/>
  <c r="Q68" i="1"/>
  <c r="R67" i="1"/>
  <c r="Q67" i="1"/>
  <c r="R66" i="1"/>
  <c r="Q66" i="1"/>
  <c r="Q65" i="1"/>
  <c r="R65" i="1" s="1"/>
  <c r="Q64" i="1"/>
  <c r="Q63" i="1" s="1"/>
  <c r="B64" i="1"/>
  <c r="B65" i="1" s="1"/>
  <c r="B66" i="1" s="1"/>
  <c r="B67" i="1" s="1"/>
  <c r="B68" i="1" s="1"/>
  <c r="B69" i="1" s="1"/>
  <c r="B70" i="1" s="1"/>
  <c r="B71" i="1" s="1"/>
  <c r="B72" i="1" s="1"/>
  <c r="B73" i="1" s="1"/>
  <c r="B74" i="1" s="1"/>
  <c r="B75" i="1" s="1"/>
  <c r="B76" i="1" s="1"/>
  <c r="L63" i="1"/>
  <c r="R61" i="1"/>
  <c r="Q61" i="1"/>
  <c r="R60" i="1"/>
  <c r="Q60" i="1"/>
  <c r="R59" i="1"/>
  <c r="Q59" i="1"/>
  <c r="R58" i="1"/>
  <c r="Q58" i="1"/>
  <c r="Q57" i="1"/>
  <c r="R57" i="1" s="1"/>
  <c r="R56" i="1" s="1"/>
  <c r="B57" i="1"/>
  <c r="B58" i="1" s="1"/>
  <c r="B59" i="1" s="1"/>
  <c r="B60" i="1" s="1"/>
  <c r="Q56" i="1"/>
  <c r="L56" i="1"/>
  <c r="R54" i="1"/>
  <c r="Q54" i="1"/>
  <c r="R53" i="1"/>
  <c r="Q53" i="1"/>
  <c r="R52" i="1"/>
  <c r="Q52" i="1"/>
  <c r="R51" i="1"/>
  <c r="Q51" i="1"/>
  <c r="R50" i="1"/>
  <c r="Q50" i="1"/>
  <c r="Q49" i="1"/>
  <c r="R49" i="1" s="1"/>
  <c r="Q48" i="1"/>
  <c r="R48" i="1" s="1"/>
  <c r="R47" i="1"/>
  <c r="Q47" i="1"/>
  <c r="R46" i="1"/>
  <c r="Q46" i="1"/>
  <c r="Q45" i="1"/>
  <c r="R45" i="1" s="1"/>
  <c r="R44" i="1"/>
  <c r="Q44" i="1"/>
  <c r="Q43" i="1"/>
  <c r="R43" i="1" s="1"/>
  <c r="Q42" i="1"/>
  <c r="R42" i="1" s="1"/>
  <c r="Q41" i="1"/>
  <c r="Q40" i="1" s="1"/>
  <c r="B41" i="1"/>
  <c r="B42" i="1" s="1"/>
  <c r="B43" i="1" s="1"/>
  <c r="B44" i="1" s="1"/>
  <c r="B45" i="1" s="1"/>
  <c r="B46" i="1" s="1"/>
  <c r="B47" i="1" s="1"/>
  <c r="B48" i="1" s="1"/>
  <c r="B49" i="1" s="1"/>
  <c r="B50" i="1" s="1"/>
  <c r="B51" i="1" s="1"/>
  <c r="B52" i="1" s="1"/>
  <c r="B53" i="1" s="1"/>
  <c r="L40" i="1"/>
  <c r="Q38" i="1"/>
  <c r="R38" i="1" s="1"/>
  <c r="Q37" i="1"/>
  <c r="R37" i="1" s="1"/>
  <c r="R36" i="1"/>
  <c r="Q36" i="1"/>
  <c r="Q35" i="1"/>
  <c r="R35" i="1" s="1"/>
  <c r="Q34" i="1"/>
  <c r="R34" i="1" s="1"/>
  <c r="Q33" i="1"/>
  <c r="R33" i="1" s="1"/>
  <c r="Q32" i="1"/>
  <c r="R32" i="1" s="1"/>
  <c r="Q31" i="1"/>
  <c r="R31" i="1" s="1"/>
  <c r="R30" i="1"/>
  <c r="Q30" i="1"/>
  <c r="B30" i="1"/>
  <c r="B31" i="1" s="1"/>
  <c r="B32" i="1" s="1"/>
  <c r="B33" i="1" s="1"/>
  <c r="B34" i="1" s="1"/>
  <c r="B35" i="1" s="1"/>
  <c r="L29" i="1"/>
  <c r="S27" i="1"/>
  <c r="Q27" i="1"/>
  <c r="R27" i="1" s="1"/>
  <c r="S26" i="1"/>
  <c r="Q26" i="1"/>
  <c r="R26" i="1" s="1"/>
  <c r="S25" i="1"/>
  <c r="R25" i="1"/>
  <c r="Q25" i="1"/>
  <c r="S24" i="1"/>
  <c r="Q24" i="1"/>
  <c r="R24" i="1" s="1"/>
  <c r="S23" i="1"/>
  <c r="Q23" i="1"/>
  <c r="R23" i="1" s="1"/>
  <c r="S22" i="1"/>
  <c r="Q22" i="1"/>
  <c r="R22" i="1" s="1"/>
  <c r="S21" i="1"/>
  <c r="Q21" i="1"/>
  <c r="R21" i="1" s="1"/>
  <c r="B21" i="1"/>
  <c r="B22" i="1" s="1"/>
  <c r="B23" i="1" s="1"/>
  <c r="B24" i="1" s="1"/>
  <c r="Q20" i="1"/>
  <c r="L20" i="1"/>
  <c r="L92" i="1" s="1"/>
  <c r="K7" i="1"/>
  <c r="W3" i="1"/>
  <c r="V3" i="1"/>
  <c r="V4" i="1" s="1"/>
  <c r="U3" i="1"/>
  <c r="T3" i="1"/>
  <c r="T4" i="1" s="1"/>
  <c r="S3" i="1"/>
  <c r="S4" i="1" s="1"/>
  <c r="R3" i="1"/>
  <c r="R4" i="1" s="1"/>
  <c r="L92" i="2" l="1"/>
  <c r="L93" i="2" s="1"/>
  <c r="L94" i="2" s="1"/>
  <c r="L94" i="1"/>
  <c r="L93" i="1"/>
  <c r="R20" i="1"/>
  <c r="R29" i="1"/>
  <c r="U4" i="1"/>
  <c r="U5" i="1" s="1"/>
  <c r="W4" i="1"/>
  <c r="W5" i="1" s="1"/>
  <c r="Q29" i="1"/>
  <c r="Q92" i="1" s="1"/>
  <c r="R5" i="1"/>
  <c r="S5" i="1"/>
  <c r="T5" i="1"/>
  <c r="V5" i="1"/>
  <c r="Y3" i="1"/>
  <c r="R41" i="1"/>
  <c r="R40" i="1" s="1"/>
  <c r="R64" i="1"/>
  <c r="R63" i="1" s="1"/>
  <c r="X5" i="1"/>
  <c r="Q93" i="1" l="1"/>
  <c r="Q94" i="1" s="1"/>
  <c r="R94" i="1" s="1"/>
  <c r="S92" i="1"/>
  <c r="R92" i="1"/>
  <c r="R93" i="1" s="1"/>
  <c r="S94" i="1" s="1"/>
  <c r="S93" i="1"/>
  <c r="Y4" i="1"/>
  <c r="Y5" i="1" s="1"/>
</calcChain>
</file>

<file path=xl/sharedStrings.xml><?xml version="1.0" encoding="utf-8"?>
<sst xmlns="http://schemas.openxmlformats.org/spreadsheetml/2006/main" count="372" uniqueCount="197">
  <si>
    <t>Costos</t>
  </si>
  <si>
    <t>Proveedor</t>
  </si>
  <si>
    <t>Muteza</t>
  </si>
  <si>
    <t>Ve3</t>
  </si>
  <si>
    <t>G.S.B.</t>
  </si>
  <si>
    <t>Techna</t>
  </si>
  <si>
    <t>DecVal</t>
  </si>
  <si>
    <t>Climanfrisa</t>
  </si>
  <si>
    <t>Online</t>
  </si>
  <si>
    <t>Total</t>
  </si>
  <si>
    <t>Subtotal</t>
  </si>
  <si>
    <t>IVA</t>
  </si>
  <si>
    <t>Datos del Cliente</t>
  </si>
  <si>
    <t>Nombre</t>
  </si>
  <si>
    <t>Notas</t>
  </si>
  <si>
    <t>Tipología</t>
  </si>
  <si>
    <t>B2a</t>
  </si>
  <si>
    <t>Teléfono</t>
  </si>
  <si>
    <t>Correo</t>
  </si>
  <si>
    <t>Num. Ext.</t>
  </si>
  <si>
    <t>Catálogo De Conceptos</t>
  </si>
  <si>
    <t>Todos los conceptos incluyen material, mano de obra, herramienta y equipo.</t>
  </si>
  <si>
    <t>Medidas Según Planos En Catálogo De Imágenes</t>
  </si>
  <si>
    <t>#</t>
  </si>
  <si>
    <t>Concepto</t>
  </si>
  <si>
    <t>Descripción</t>
  </si>
  <si>
    <t>Precio (MXN)</t>
  </si>
  <si>
    <t>Costo</t>
  </si>
  <si>
    <t>Margen</t>
  </si>
  <si>
    <t>ID</t>
  </si>
  <si>
    <t>Carpinterias</t>
  </si>
  <si>
    <t>Selección</t>
  </si>
  <si>
    <t>Acabado</t>
  </si>
  <si>
    <t>CRP-B2a-CC-CC-MZ</t>
  </si>
  <si>
    <t>Cocina</t>
  </si>
  <si>
    <t>Premium</t>
  </si>
  <si>
    <t>Olmo Volga</t>
  </si>
  <si>
    <t>Suministro e instalacion de cocina con interiores en melamina color blanco con cantos de pvc en color de puertas con altura total de 240 cms, puertas inferiores en melamina en colores a escoger de 15mm de grosor con corte 45, puertas superiores en tableros de alto brillo o super mate anti huella, cama de triplay para recibir cubierta de cuarzo, herrajes de cierre suave, tarja de acero inoxidable, llave monomando, contra canastas, zoclo de pvc con recubrimiento de acero inoxidable y luz led. Cubierta de cuarzo tipo Calacatta con recubrimiento en muro o semi muro y grapa en isla. Linea y Herrajes Blum Metabox  + Tira led bajo alacenas supreiores</t>
  </si>
  <si>
    <t>CRP-B2a-VV-VV-MZ</t>
  </si>
  <si>
    <t>Vestidor Principal</t>
  </si>
  <si>
    <t>Lino Cancún</t>
  </si>
  <si>
    <t xml:space="preserve">Suministro e instalación de vestidor principal en melamina en colores a escoger de 15 mm de grosor. Consta de 2 cajoneras de 5 cajones con dos entrepaños cada 1 y dos áreas de colgadores sin fondos en altura de 210 cms con herrajes de cierre normal y jaladeras en modelos a escoger. Linea y Herrajes Blum Metabox </t>
  </si>
  <si>
    <t>CRP-B2a-R2-CL-V3</t>
  </si>
  <si>
    <t>Closet I</t>
  </si>
  <si>
    <t>Estándar</t>
  </si>
  <si>
    <t>Roble Renovales</t>
  </si>
  <si>
    <t>Suministro e instalacion de closet cerrado en melamina de 15 mm de grosor en colores a escoger, herrajes de cierre normal y tubos colgadores ovalados cromados en altura de 240 cms de altura. Consta de 1 cajonera con 4 cajones, un área de colgadores dobles tapado por puertas y jaladeras en modelos a escoger.</t>
  </si>
  <si>
    <t>CRP-B2a-AC-TV1-MZ</t>
  </si>
  <si>
    <t>Mueble para TV</t>
  </si>
  <si>
    <t>Suministro e instalación de mueble para TV bajo  en área flex o área común en melamina en color a escoger</t>
  </si>
  <si>
    <t>Electrodomésticos</t>
  </si>
  <si>
    <t>ELEC-B2a-CC-TD</t>
  </si>
  <si>
    <t>Tarja Doble</t>
  </si>
  <si>
    <t>-</t>
  </si>
  <si>
    <t>Suministro e instalación de tarja doble y materiales Coflex para su correcta instalación con contra canastas</t>
  </si>
  <si>
    <t>Online Purchase</t>
  </si>
  <si>
    <t>ELEC-B2a-CC-LL1</t>
  </si>
  <si>
    <t>Llave Mezcladora</t>
  </si>
  <si>
    <t>MEER FAUCETS</t>
  </si>
  <si>
    <t>Suministro e instalación de llave mezcladora de cocina MEER FAUCETS BY CNX en acabado cromo</t>
  </si>
  <si>
    <t>ELEC-B2a-CC-PE1</t>
  </si>
  <si>
    <t>Parrilla Eléctrica</t>
  </si>
  <si>
    <t>Avera PIV577 77cm- Inducción</t>
  </si>
  <si>
    <t>Suministro e instalación de parrilla eléctrica Avera PIV577 de 77 x 50cm</t>
  </si>
  <si>
    <t>ELEC-B2a-CC-CF1-Isla</t>
  </si>
  <si>
    <t>Campana de Filtración</t>
  </si>
  <si>
    <t>Avera CEVD90B</t>
  </si>
  <si>
    <t>Suministro e instalación de campana de filtración eléctrica de isla Avera CEVD90B tipo T de 90cm</t>
  </si>
  <si>
    <t>ELEC-B2a-CC-HE2</t>
  </si>
  <si>
    <t>Horno Eléctrico</t>
  </si>
  <si>
    <t>Avera HEL03P</t>
  </si>
  <si>
    <t>Suministro e instalación de horno eléctrico empotrable Avera HEL03P de 67 litros</t>
  </si>
  <si>
    <t>ELEC-B2a-CC-RF1</t>
  </si>
  <si>
    <t>Refrijerador</t>
  </si>
  <si>
    <t>Hisense RF22N6FCX 22 cu. ft.</t>
  </si>
  <si>
    <t xml:space="preserve">Suministro e instalación de refrigerador Hisense RF22N6FCX de 22 pies cúbicos </t>
  </si>
  <si>
    <t>ELEC-B2a-LV-BO</t>
  </si>
  <si>
    <t>Calentador</t>
  </si>
  <si>
    <t>Suministro e instalación de boiler de depósito eléctrico 76L, 220V, de 2 servicios, Rheem. Incluye materiales Coflex para su correcta instalación</t>
  </si>
  <si>
    <t>Trabajos Eléctricos</t>
  </si>
  <si>
    <t>Uds.</t>
  </si>
  <si>
    <t>TRAB-B2a-contacto-PE</t>
  </si>
  <si>
    <t>Contacto</t>
  </si>
  <si>
    <t>Suministro e instalación de contacto candado 3p-4h 30A 250V</t>
  </si>
  <si>
    <t>TRAB-B2a-clavija-PE</t>
  </si>
  <si>
    <t>Clavija</t>
  </si>
  <si>
    <t>Suministro e instalación de clavija candado 3p-4h 30A 250V</t>
  </si>
  <si>
    <t>TRAB-B2a-contacto-HE</t>
  </si>
  <si>
    <t>Suministro e instalación de contacto candado 2p-3h 20A 250V</t>
  </si>
  <si>
    <t>TRAB-B2a-clavija-HE</t>
  </si>
  <si>
    <t>Suministro e instalación de clavija candado 2p-3h 20A 250V</t>
  </si>
  <si>
    <t>TRAB-B2a-contacto-BO</t>
  </si>
  <si>
    <t>Suministro e instalación de contacto candado 2p-3h 30A 250V</t>
  </si>
  <si>
    <t>TRAB-B2a-clavija-BO</t>
  </si>
  <si>
    <t>Suministro e instalación de clavija candado 2p-3h 30A 250V</t>
  </si>
  <si>
    <t>TRAB-B2a-contacto-CL</t>
  </si>
  <si>
    <t>Centro de Lavado</t>
  </si>
  <si>
    <t>Suministro e instalación de contacto candado 3p-4h 20A 250V</t>
  </si>
  <si>
    <t>TRAB-B2a-clavija-CL</t>
  </si>
  <si>
    <t>Suministro e instalación de clavija candado 3p-4h 20A 250V</t>
  </si>
  <si>
    <t>TRAB-B2a-minisplit-MS</t>
  </si>
  <si>
    <t>Minisplits</t>
  </si>
  <si>
    <t>Preparación</t>
  </si>
  <si>
    <t>Preparación eléctrica de minisplit incluye cableado y cable uso rudo p/conexión de equipo</t>
  </si>
  <si>
    <t>TRAB-B3-contacto-CF</t>
  </si>
  <si>
    <t xml:space="preserve">Suministro e instalación de contacto para Campana de Filtración </t>
  </si>
  <si>
    <t>TRAB-B2a-cable-AE</t>
  </si>
  <si>
    <t>Adecuaciones</t>
  </si>
  <si>
    <t>Cable Uso Rudo</t>
  </si>
  <si>
    <t>Suministro e instalación de cable uso rudo 3x10 marca indiana. (8 metros lineales)</t>
  </si>
  <si>
    <t>TRAB-B2a-utermica-AE</t>
  </si>
  <si>
    <t>Unidad Térmica</t>
  </si>
  <si>
    <t>Suministro e instalación de unidad térmica 2x20 b ticino</t>
  </si>
  <si>
    <t>TRAB-B2a-linea-AE</t>
  </si>
  <si>
    <t>Línea Neutra</t>
  </si>
  <si>
    <t>Suministro e instalación de línea neutra para centro de lavado y parrilla eléctrica abrir hueco en plafón</t>
  </si>
  <si>
    <t>Cancelería</t>
  </si>
  <si>
    <t>Espacio</t>
  </si>
  <si>
    <t>CANC-B2a-WC1-C</t>
  </si>
  <si>
    <t>Canceles</t>
  </si>
  <si>
    <t>Baño en Recámara Principal</t>
  </si>
  <si>
    <t>Suministro e instalación de cancel de regadera tipo Batiente de 1350 x 2000 mm</t>
  </si>
  <si>
    <t>CANC-B2a-WC2-C</t>
  </si>
  <si>
    <t>Baño en Pasillo</t>
  </si>
  <si>
    <t>Suministro e instalación de cancel de regadera tipo Batiente 1830 x 2000 mm</t>
  </si>
  <si>
    <t>CANC-B2a-WC1-E</t>
  </si>
  <si>
    <t>Espejos</t>
  </si>
  <si>
    <t>Suministro e instalación de espejo Flotado 1200 x 700 mm</t>
  </si>
  <si>
    <t>CANC-B2a-WC2-E</t>
  </si>
  <si>
    <t>Persianas</t>
  </si>
  <si>
    <t>PyC-B2a-AC-P</t>
  </si>
  <si>
    <t>Área Común</t>
  </si>
  <si>
    <t>Persiana enrollable Screen 2.91 x 3.10m</t>
  </si>
  <si>
    <t>PyC-B2a-AC-CSA</t>
  </si>
  <si>
    <t>Cortinas</t>
  </si>
  <si>
    <t>Cortina Sheer Aspen 2.91 x 3.10m</t>
  </si>
  <si>
    <t>PyC-B2a-R1-P</t>
  </si>
  <si>
    <t>Recámara Principal</t>
  </si>
  <si>
    <t>Persiana enrollable Blackout 1.00 x 3.10m</t>
  </si>
  <si>
    <t>PyC-B2a-R1-CSA</t>
  </si>
  <si>
    <t>Cortina Sheer Aspen 1.00 x 3.10m</t>
  </si>
  <si>
    <t>PyC-B2a-R1-CBNY</t>
  </si>
  <si>
    <t>Cortina Blackout New York 1.00 x 3.10m</t>
  </si>
  <si>
    <t>PyC-B2a-R2-P</t>
  </si>
  <si>
    <t>Segunda Recámara</t>
  </si>
  <si>
    <t>PyC-B2a-R2-CSA</t>
  </si>
  <si>
    <t>PyC-B2a-R2-CBNY</t>
  </si>
  <si>
    <t>PyC-B2a-FX-P</t>
  </si>
  <si>
    <t>Recámara Flex</t>
  </si>
  <si>
    <t>Persiana enrollable Blackout 1.50 x 3.10m</t>
  </si>
  <si>
    <t>PyC-B2a-FX-CSA</t>
  </si>
  <si>
    <t>Cortina Sheer Aspen 1.50 x 3.10m</t>
  </si>
  <si>
    <t>PyC-B2a-FX-CBNY</t>
  </si>
  <si>
    <t>Cortina Blackout New York 1.50 x 3.10m</t>
  </si>
  <si>
    <t>PyC-B2a-S-P_Inst</t>
  </si>
  <si>
    <t>Instalación</t>
  </si>
  <si>
    <t>Servicio</t>
  </si>
  <si>
    <t>Instalación de Persianas</t>
  </si>
  <si>
    <t>PyC-B2a-S-C_Inst</t>
  </si>
  <si>
    <t>Instalación de Cortinas</t>
  </si>
  <si>
    <t>Aire Acondicionado</t>
  </si>
  <si>
    <t>AIRE-B2a-AC-2TR</t>
  </si>
  <si>
    <t>Minisplit</t>
  </si>
  <si>
    <t>Minisplit Mirage de 2TR frio y calor inverter para área social</t>
  </si>
  <si>
    <t>AIRE-B2a-AC-Inst</t>
  </si>
  <si>
    <t>Instalación de Minisplit Mirage de 2TR con 3m de tubería y base</t>
  </si>
  <si>
    <t>AIRE-B2a-R1-1TR</t>
  </si>
  <si>
    <t>Minisplit Mirage de 1TR frio y calor inverter para recámara principal</t>
  </si>
  <si>
    <t>AIRE-B2a-R1-Inst</t>
  </si>
  <si>
    <t>Instalación de Minisplit Mirage de 1TR recámara principal con 3m de tubería y cables de señal</t>
  </si>
  <si>
    <t>AIRE-B2a-R2-1TR</t>
  </si>
  <si>
    <t>Minisplit Mirage de 1TR frio y calor inverter para segunda recámara</t>
  </si>
  <si>
    <t>AIRE-B2a-R2-Inst</t>
  </si>
  <si>
    <t>Instalación de Minisplit Mirage de 1TR para segunda recámara básica</t>
  </si>
  <si>
    <t>AIRE-B2a-FX-1TR</t>
  </si>
  <si>
    <t>Minisplit Mirage de 1TR frio y calor inverter para recámara flex</t>
  </si>
  <si>
    <t>AIRE-B2a-FX-Inst</t>
  </si>
  <si>
    <t>Instalación de Minisplit Mirage de 1TR para recámara flex incluye base y 7m de tubería</t>
  </si>
  <si>
    <t>AIRE-B2a-EX-Rack</t>
  </si>
  <si>
    <t>Rack Metálico</t>
  </si>
  <si>
    <t>Exterior</t>
  </si>
  <si>
    <t>Rack metálico para equipos mirage</t>
  </si>
  <si>
    <t>Limpieza</t>
  </si>
  <si>
    <t>LIMP-B2a-S-RE</t>
  </si>
  <si>
    <t>Retiro de escombro y limpieza de obra</t>
  </si>
  <si>
    <t>* Tiempos de entrega y condiciones de pago negociados individualmente</t>
  </si>
  <si>
    <t xml:space="preserve">Subtotal  </t>
  </si>
  <si>
    <t>* Precios en desglose no incluyen IVA, a excepción de apartado de electrodomésticos</t>
  </si>
  <si>
    <t xml:space="preserve">IVA  </t>
  </si>
  <si>
    <t>* Precios sujetos a cambio sin previo aviso</t>
  </si>
  <si>
    <t xml:space="preserve">Total  </t>
  </si>
  <si>
    <t>Notas para Proveedores</t>
  </si>
  <si>
    <t>Carpinterías</t>
  </si>
  <si>
    <t>Persianas y Cortinas</t>
  </si>
  <si>
    <t>Juan Pérez</t>
  </si>
  <si>
    <t>jperez@gmail.com</t>
  </si>
  <si>
    <t>Quiero que la cocina sea verde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</si>
</sst>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80A]d&quot; de &quot;mmmm&quot; de &quot;yyyy;@"/>
  </numFmts>
  <fonts count="24" x14ac:knownFonts="1">
    <font>
      <sz val="11"/>
      <color theme="1"/>
      <name val="Calibri"/>
      <family val="2"/>
      <charset val="1"/>
    </font>
    <font>
      <b/>
      <sz val="11"/>
      <color theme="1"/>
      <name val="Calibri"/>
      <family val="2"/>
    </font>
    <font>
      <sz val="10"/>
      <color theme="1"/>
      <name val="Arial"/>
      <family val="2"/>
    </font>
    <font>
      <b/>
      <sz val="11"/>
      <color theme="0"/>
      <name val="Calibri"/>
      <family val="2"/>
    </font>
    <font>
      <sz val="10"/>
      <color theme="0"/>
      <name val="Aptos Narrow"/>
      <family val="2"/>
    </font>
    <font>
      <sz val="10"/>
      <color theme="1"/>
      <name val="Aptos Narrow"/>
      <family val="2"/>
    </font>
    <font>
      <b/>
      <sz val="10"/>
      <color theme="0"/>
      <name val="Aptos Narrow"/>
      <family val="2"/>
    </font>
    <font>
      <b/>
      <sz val="12"/>
      <color theme="0"/>
      <name val="Aptos Narrow"/>
      <family val="2"/>
    </font>
    <font>
      <b/>
      <sz val="10"/>
      <color theme="1"/>
      <name val="Aptos Narrow"/>
      <family val="2"/>
    </font>
    <font>
      <i/>
      <sz val="10"/>
      <color theme="1" tint="0.499984740745262"/>
      <name val="Aptos Narrow"/>
      <family val="2"/>
    </font>
    <font>
      <b/>
      <sz val="14"/>
      <color theme="5" tint="-0.499984740745262"/>
      <name val="Arial"/>
      <family val="2"/>
    </font>
    <font>
      <b/>
      <sz val="11"/>
      <color theme="1"/>
      <name val="Calibri"/>
      <family val="2"/>
      <charset val="1"/>
    </font>
    <font>
      <sz val="10"/>
      <color theme="5" tint="-0.499984740745262"/>
      <name val="Arial"/>
      <family val="2"/>
    </font>
    <font>
      <b/>
      <sz val="12"/>
      <color theme="1"/>
      <name val="Aptos Narrow"/>
      <family val="2"/>
    </font>
    <font>
      <i/>
      <sz val="10"/>
      <color theme="1"/>
      <name val="Aptos Narrow"/>
      <family val="2"/>
    </font>
    <font>
      <i/>
      <sz val="8"/>
      <color theme="1"/>
      <name val="Aptos Narrow"/>
      <family val="2"/>
    </font>
    <font>
      <sz val="9"/>
      <color theme="1"/>
      <name val="Aptos Narrow"/>
      <family val="2"/>
    </font>
    <font>
      <sz val="10"/>
      <color theme="0" tint="-0.499984740745262"/>
      <name val="Aptos Narrow"/>
      <family val="2"/>
    </font>
    <font>
      <b/>
      <sz val="9"/>
      <color theme="1"/>
      <name val="Aptos Narrow"/>
      <family val="2"/>
    </font>
    <font>
      <sz val="11"/>
      <color theme="1"/>
      <name val="Aptos Narrow"/>
      <family val="2"/>
    </font>
    <font>
      <sz val="9"/>
      <color theme="1"/>
      <name val="Calibri"/>
      <family val="2"/>
      <charset val="1"/>
    </font>
    <font>
      <i/>
      <sz val="9"/>
      <color theme="1"/>
      <name val="Aptos Narrow"/>
      <family val="2"/>
    </font>
    <font>
      <sz val="11"/>
      <color theme="1"/>
      <name val="Calibri"/>
      <family val="2"/>
    </font>
    <font>
      <u/>
      <sz val="11"/>
      <color theme="10"/>
      <name val="Calibri"/>
      <family val="2"/>
      <charset val="1"/>
    </font>
  </fonts>
  <fills count="13">
    <fill>
      <patternFill patternType="none"/>
    </fill>
    <fill>
      <patternFill patternType="gray125"/>
    </fill>
    <fill>
      <patternFill patternType="solid">
        <fgColor theme="0" tint="-0.14999847407452621"/>
        <bgColor indexed="64"/>
      </patternFill>
    </fill>
    <fill>
      <patternFill patternType="solid">
        <fgColor rgb="FF45818E"/>
        <bgColor indexed="64"/>
      </patternFill>
    </fill>
    <fill>
      <patternFill patternType="solid">
        <fgColor rgb="FFFFFFFF"/>
        <bgColor indexed="64"/>
      </patternFill>
    </fill>
    <fill>
      <patternFill patternType="solid">
        <fgColor theme="3"/>
        <bgColor indexed="64"/>
      </patternFill>
    </fill>
    <fill>
      <patternFill patternType="solid">
        <fgColor theme="3" tint="0.39997558519241921"/>
        <bgColor indexed="64"/>
      </patternFill>
    </fill>
    <fill>
      <patternFill patternType="solid">
        <fgColor theme="0" tint="-4.9989318521683403E-2"/>
        <bgColor indexed="64"/>
      </patternFill>
    </fill>
    <fill>
      <patternFill patternType="solid">
        <fgColor rgb="FFD0E0E3"/>
        <bgColor indexed="64"/>
      </patternFill>
    </fill>
    <fill>
      <patternFill patternType="solid">
        <fgColor rgb="FF76A5AF"/>
        <bgColor indexed="64"/>
      </patternFill>
    </fill>
    <fill>
      <patternFill patternType="solid">
        <fgColor theme="8"/>
        <bgColor indexed="64"/>
      </patternFill>
    </fill>
    <fill>
      <patternFill patternType="solid">
        <fgColor theme="8" tint="0.39997558519241921"/>
        <bgColor indexed="64"/>
      </patternFill>
    </fill>
    <fill>
      <patternFill patternType="solid">
        <fgColor theme="5" tint="0.59999389629810485"/>
        <bgColor indexed="64"/>
      </patternFill>
    </fill>
  </fills>
  <borders count="98">
    <border>
      <left/>
      <right/>
      <top/>
      <bottom/>
      <diagonal/>
    </border>
    <border>
      <left style="medium">
        <color auto="1"/>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bottom style="thin">
        <color theme="0" tint="-0.34998626667073579"/>
      </bottom>
      <diagonal/>
    </border>
    <border>
      <left style="medium">
        <color rgb="FF000000"/>
      </left>
      <right/>
      <top/>
      <bottom/>
      <diagonal/>
    </border>
    <border>
      <left/>
      <right style="medium">
        <color rgb="FF000000"/>
      </right>
      <top/>
      <bottom/>
      <diagonal/>
    </border>
    <border>
      <left/>
      <right/>
      <top style="thin">
        <color theme="0" tint="-0.34998626667073579"/>
      </top>
      <bottom style="thin">
        <color theme="0" tint="-0.34998626667073579"/>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medium">
        <color theme="1"/>
      </left>
      <right style="medium">
        <color theme="1"/>
      </right>
      <top style="medium">
        <color theme="1"/>
      </top>
      <bottom style="medium">
        <color theme="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theme="1"/>
      </left>
      <right style="medium">
        <color theme="1"/>
      </right>
      <top style="medium">
        <color theme="1"/>
      </top>
      <bottom/>
      <diagonal/>
    </border>
    <border>
      <left style="medium">
        <color theme="1"/>
      </left>
      <right/>
      <top style="thin">
        <color theme="1"/>
      </top>
      <bottom/>
      <diagonal/>
    </border>
    <border>
      <left/>
      <right/>
      <top style="thin">
        <color theme="1"/>
      </top>
      <bottom/>
      <diagonal/>
    </border>
    <border>
      <left/>
      <right style="thin">
        <color theme="1"/>
      </right>
      <top style="thin">
        <color theme="1"/>
      </top>
      <bottom/>
      <diagonal/>
    </border>
    <border>
      <left style="medium">
        <color indexed="64"/>
      </left>
      <right style="medium">
        <color indexed="64"/>
      </right>
      <top style="medium">
        <color indexed="64"/>
      </top>
      <bottom style="medium">
        <color indexed="64"/>
      </bottom>
      <diagonal/>
    </border>
    <border>
      <left style="medium">
        <color theme="1"/>
      </left>
      <right style="medium">
        <color theme="1"/>
      </right>
      <top/>
      <bottom/>
      <diagonal/>
    </border>
    <border>
      <left style="medium">
        <color theme="1"/>
      </left>
      <right/>
      <top/>
      <bottom/>
      <diagonal/>
    </border>
    <border>
      <left/>
      <right style="thin">
        <color theme="1"/>
      </right>
      <top/>
      <bottom/>
      <diagonal/>
    </border>
    <border>
      <left style="medium">
        <color theme="1"/>
      </left>
      <right style="medium">
        <color theme="1"/>
      </right>
      <top/>
      <bottom style="medium">
        <color theme="1"/>
      </bottom>
      <diagonal/>
    </border>
    <border>
      <left style="medium">
        <color theme="1"/>
      </left>
      <right/>
      <top/>
      <bottom style="thin">
        <color theme="1"/>
      </bottom>
      <diagonal/>
    </border>
    <border>
      <left/>
      <right/>
      <top/>
      <bottom style="thin">
        <color theme="1"/>
      </bottom>
      <diagonal/>
    </border>
    <border>
      <left/>
      <right style="thin">
        <color theme="1"/>
      </right>
      <top/>
      <bottom style="thin">
        <color theme="1"/>
      </bottom>
      <diagonal/>
    </border>
    <border>
      <left/>
      <right style="thin">
        <color rgb="FF000000"/>
      </right>
      <top style="thin">
        <color rgb="FF000000"/>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thin">
        <color auto="1"/>
      </left>
      <right style="thin">
        <color auto="1"/>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auto="1"/>
      </right>
      <top style="medium">
        <color rgb="FF000000"/>
      </top>
      <bottom style="thin">
        <color rgb="FF000000"/>
      </bottom>
      <diagonal/>
    </border>
    <border>
      <left style="thin">
        <color indexed="64"/>
      </left>
      <right/>
      <top/>
      <bottom style="thin">
        <color indexed="64"/>
      </bottom>
      <diagonal/>
    </border>
    <border>
      <left/>
      <right style="medium">
        <color rgb="FF000000"/>
      </right>
      <top/>
      <bottom style="thin">
        <color indexed="64"/>
      </bottom>
      <diagonal/>
    </border>
    <border>
      <left style="thin">
        <color auto="1"/>
      </left>
      <right style="thin">
        <color auto="1"/>
      </right>
      <top/>
      <bottom style="thin">
        <color theme="0" tint="-0.24994659260841701"/>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auto="1"/>
      </right>
      <top style="thin">
        <color rgb="FF000000"/>
      </top>
      <bottom style="thin">
        <color rgb="FF000000"/>
      </bottom>
      <diagonal/>
    </border>
    <border>
      <left/>
      <right style="medium">
        <color rgb="FF000000"/>
      </right>
      <top style="thin">
        <color auto="1"/>
      </top>
      <bottom style="thin">
        <color auto="1"/>
      </bottom>
      <diagonal/>
    </border>
    <border>
      <left style="thin">
        <color auto="1"/>
      </left>
      <right style="thin">
        <color auto="1"/>
      </right>
      <top style="thin">
        <color theme="0" tint="-0.24994659260841701"/>
      </top>
      <bottom style="thin">
        <color theme="0" tint="-0.24994659260841701"/>
      </bottom>
      <diagonal/>
    </border>
    <border>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style="thin">
        <color theme="1"/>
      </left>
      <right/>
      <top style="thin">
        <color rgb="FF000000"/>
      </top>
      <bottom style="thin">
        <color rgb="FF000000"/>
      </bottom>
      <diagonal/>
    </border>
    <border>
      <left style="thin">
        <color theme="1"/>
      </left>
      <right style="thin">
        <color theme="1"/>
      </right>
      <top style="thin">
        <color theme="1"/>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auto="1"/>
      </right>
      <top style="thin">
        <color rgb="FF000000"/>
      </top>
      <bottom style="medium">
        <color rgb="FF000000"/>
      </bottom>
      <diagonal/>
    </border>
    <border>
      <left style="thin">
        <color auto="1"/>
      </left>
      <right/>
      <top style="thin">
        <color auto="1"/>
      </top>
      <bottom style="medium">
        <color rgb="FF000000"/>
      </bottom>
      <diagonal/>
    </border>
    <border>
      <left/>
      <right style="medium">
        <color rgb="FF000000"/>
      </right>
      <top style="thin">
        <color auto="1"/>
      </top>
      <bottom style="medium">
        <color rgb="FF000000"/>
      </bottom>
      <diagonal/>
    </border>
    <border>
      <left style="thin">
        <color auto="1"/>
      </left>
      <right style="thin">
        <color auto="1"/>
      </right>
      <top style="thin">
        <color theme="0" tint="-0.24994659260841701"/>
      </top>
      <bottom/>
      <diagonal/>
    </border>
    <border>
      <left style="medium">
        <color rgb="FF000000"/>
      </left>
      <right style="thin">
        <color rgb="FF000000"/>
      </right>
      <top/>
      <bottom style="thin">
        <color rgb="FF000000"/>
      </bottom>
      <diagonal/>
    </border>
    <border>
      <left/>
      <right style="thin">
        <color rgb="FF000000"/>
      </right>
      <top/>
      <bottom style="thin">
        <color rgb="FF000000"/>
      </bottom>
      <diagonal/>
    </border>
    <border>
      <left style="medium">
        <color rgb="FF000000"/>
      </left>
      <right style="thin">
        <color rgb="FF000000"/>
      </right>
      <top style="thin">
        <color rgb="FF000000"/>
      </top>
      <bottom/>
      <diagonal/>
    </border>
    <border>
      <left/>
      <right style="medium">
        <color rgb="FF000000"/>
      </right>
      <top style="medium">
        <color rgb="FF000000"/>
      </top>
      <bottom style="thin">
        <color rgb="FF000000"/>
      </bottom>
      <diagonal/>
    </border>
    <border>
      <left/>
      <right style="medium">
        <color rgb="FF000000"/>
      </right>
      <top style="thin">
        <color rgb="FF000000"/>
      </top>
      <bottom style="thin">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right style="medium">
        <color rgb="FF000000"/>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auto="1"/>
      </left>
      <right style="thin">
        <color auto="1"/>
      </right>
      <top/>
      <bottom style="thin">
        <color indexed="64"/>
      </bottom>
      <diagonal/>
    </border>
    <border>
      <left/>
      <right/>
      <top style="thin">
        <color indexed="64"/>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indexed="64"/>
      </left>
      <right style="thin">
        <color indexed="64"/>
      </right>
      <top style="thin">
        <color indexed="64"/>
      </top>
      <bottom style="thin">
        <color indexed="64"/>
      </bottom>
      <diagonal/>
    </border>
    <border>
      <left style="medium">
        <color auto="1"/>
      </left>
      <right/>
      <top style="medium">
        <color auto="1"/>
      </top>
      <bottom style="medium">
        <color rgb="FF000000"/>
      </bottom>
      <diagonal/>
    </border>
    <border>
      <left/>
      <right style="medium">
        <color rgb="FF000000"/>
      </right>
      <top style="medium">
        <color auto="1"/>
      </top>
      <bottom style="medium">
        <color rgb="FF000000"/>
      </bottom>
      <diagonal/>
    </border>
    <border>
      <left/>
      <right/>
      <top/>
      <bottom style="thin">
        <color indexed="64"/>
      </bottom>
      <diagonal/>
    </border>
    <border>
      <left/>
      <right/>
      <top/>
      <bottom style="medium">
        <color auto="1"/>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auto="1"/>
      </left>
      <right/>
      <top/>
      <bottom/>
      <diagonal/>
    </border>
    <border>
      <left/>
      <right style="thin">
        <color auto="1"/>
      </right>
      <top/>
      <bottom/>
      <diagonal/>
    </border>
    <border>
      <left/>
      <right style="thin">
        <color indexed="64"/>
      </right>
      <top/>
      <bottom style="thin">
        <color indexed="64"/>
      </bottom>
      <diagonal/>
    </border>
  </borders>
  <cellStyleXfs count="2">
    <xf numFmtId="0" fontId="0" fillId="0" borderId="0"/>
    <xf numFmtId="0" fontId="23" fillId="0" borderId="0" applyNumberFormat="0" applyFill="0" applyBorder="0" applyAlignment="0" applyProtection="0"/>
  </cellStyleXfs>
  <cellXfs count="275">
    <xf numFmtId="0" fontId="0" fillId="0" borderId="0" xfId="0"/>
    <xf numFmtId="0" fontId="0" fillId="2" borderId="1" xfId="0" applyFill="1" applyBorder="1"/>
    <xf numFmtId="0" fontId="1" fillId="0" borderId="0" xfId="0" applyFont="1"/>
    <xf numFmtId="0" fontId="2" fillId="3" borderId="2" xfId="0" applyFont="1" applyFill="1" applyBorder="1" applyAlignment="1">
      <alignment wrapText="1"/>
    </xf>
    <xf numFmtId="0" fontId="2" fillId="3" borderId="3" xfId="0" applyFont="1" applyFill="1" applyBorder="1" applyAlignment="1">
      <alignment wrapText="1"/>
    </xf>
    <xf numFmtId="0" fontId="2" fillId="0" borderId="3" xfId="0" applyFont="1" applyBorder="1" applyAlignment="1">
      <alignment wrapText="1"/>
    </xf>
    <xf numFmtId="0" fontId="2" fillId="4" borderId="3" xfId="0" applyFont="1" applyFill="1" applyBorder="1" applyAlignment="1">
      <alignment vertical="center" wrapText="1"/>
    </xf>
    <xf numFmtId="0" fontId="2" fillId="4" borderId="4" xfId="0" applyFont="1" applyFill="1" applyBorder="1" applyAlignment="1">
      <alignment vertical="center" wrapText="1"/>
    </xf>
    <xf numFmtId="0" fontId="3" fillId="5" borderId="5" xfId="0" applyFont="1" applyFill="1" applyBorder="1" applyAlignment="1">
      <alignment horizontal="center"/>
    </xf>
    <xf numFmtId="0" fontId="3" fillId="5" borderId="0" xfId="0" applyFont="1" applyFill="1" applyAlignment="1">
      <alignment horizontal="center"/>
    </xf>
    <xf numFmtId="0" fontId="2" fillId="3" borderId="6" xfId="0" applyFont="1" applyFill="1" applyBorder="1" applyAlignment="1">
      <alignment wrapText="1"/>
    </xf>
    <xf numFmtId="0" fontId="2" fillId="3" borderId="0" xfId="0" applyFont="1" applyFill="1" applyAlignment="1">
      <alignment wrapText="1"/>
    </xf>
    <xf numFmtId="0" fontId="2" fillId="0" borderId="0" xfId="0" applyFont="1" applyAlignment="1">
      <alignment wrapText="1"/>
    </xf>
    <xf numFmtId="0" fontId="2" fillId="4" borderId="0" xfId="0" applyFont="1" applyFill="1" applyAlignment="1">
      <alignment vertical="center" wrapText="1"/>
    </xf>
    <xf numFmtId="0" fontId="2" fillId="4" borderId="7" xfId="0" applyFont="1" applyFill="1" applyBorder="1" applyAlignment="1">
      <alignment vertical="center" wrapText="1"/>
    </xf>
    <xf numFmtId="44" fontId="4" fillId="6" borderId="8" xfId="0" applyNumberFormat="1" applyFont="1" applyFill="1" applyBorder="1" applyAlignment="1">
      <alignment vertical="center"/>
    </xf>
    <xf numFmtId="0" fontId="5" fillId="7" borderId="8" xfId="0" applyFont="1" applyFill="1" applyBorder="1"/>
    <xf numFmtId="44" fontId="5" fillId="7" borderId="8" xfId="0" applyNumberFormat="1" applyFont="1" applyFill="1" applyBorder="1"/>
    <xf numFmtId="0" fontId="2" fillId="3" borderId="9" xfId="0" applyFont="1" applyFill="1" applyBorder="1" applyAlignment="1">
      <alignment wrapText="1"/>
    </xf>
    <xf numFmtId="0" fontId="2" fillId="3" borderId="10" xfId="0" applyFont="1" applyFill="1" applyBorder="1" applyAlignment="1">
      <alignment wrapText="1"/>
    </xf>
    <xf numFmtId="0" fontId="2" fillId="0" borderId="10" xfId="0" applyFont="1" applyBorder="1" applyAlignment="1">
      <alignment wrapText="1"/>
    </xf>
    <xf numFmtId="0" fontId="2" fillId="4" borderId="10" xfId="0" applyFont="1" applyFill="1" applyBorder="1" applyAlignment="1">
      <alignment vertical="center" wrapText="1"/>
    </xf>
    <xf numFmtId="0" fontId="2" fillId="4" borderId="11" xfId="0" applyFont="1" applyFill="1" applyBorder="1" applyAlignment="1">
      <alignment vertical="center" wrapText="1"/>
    </xf>
    <xf numFmtId="44" fontId="6" fillId="6" borderId="8" xfId="0" applyNumberFormat="1" applyFont="1" applyFill="1" applyBorder="1" applyAlignment="1">
      <alignment vertical="center"/>
    </xf>
    <xf numFmtId="0" fontId="2" fillId="0" borderId="0" xfId="0" applyFont="1" applyAlignment="1">
      <alignment horizontal="center" wrapText="1"/>
    </xf>
    <xf numFmtId="0" fontId="2" fillId="0" borderId="0" xfId="0" applyFont="1" applyAlignment="1">
      <alignment horizontal="center" vertical="center" wrapText="1"/>
    </xf>
    <xf numFmtId="0" fontId="5" fillId="0" borderId="0" xfId="0" applyFont="1" applyAlignment="1">
      <alignment horizontal="right" wrapText="1"/>
    </xf>
    <xf numFmtId="0" fontId="7" fillId="0" borderId="16" xfId="0" applyFont="1" applyBorder="1" applyAlignment="1">
      <alignment horizontal="center" vertical="center"/>
    </xf>
    <xf numFmtId="0" fontId="8" fillId="8" borderId="17" xfId="0" applyFont="1" applyFill="1" applyBorder="1" applyAlignment="1">
      <alignment horizontal="right" vertical="center" wrapText="1"/>
    </xf>
    <xf numFmtId="0" fontId="8" fillId="8" borderId="0" xfId="0" applyFont="1" applyFill="1" applyAlignment="1">
      <alignment horizontal="right" vertical="center" wrapText="1"/>
    </xf>
    <xf numFmtId="0" fontId="8" fillId="0" borderId="0" xfId="0" applyFont="1" applyAlignment="1">
      <alignment vertical="center"/>
    </xf>
    <xf numFmtId="0" fontId="8" fillId="0" borderId="0" xfId="0" applyFont="1" applyAlignment="1">
      <alignment horizontal="center" vertical="center"/>
    </xf>
    <xf numFmtId="0" fontId="8" fillId="8" borderId="24" xfId="0" applyFont="1" applyFill="1" applyBorder="1" applyAlignment="1">
      <alignment horizontal="right" vertical="center"/>
    </xf>
    <xf numFmtId="0" fontId="11" fillId="0" borderId="0" xfId="0" applyFont="1"/>
    <xf numFmtId="0" fontId="11" fillId="2" borderId="1" xfId="0" applyFont="1" applyFill="1" applyBorder="1"/>
    <xf numFmtId="0" fontId="12" fillId="0" borderId="24" xfId="0" applyFont="1" applyBorder="1" applyAlignment="1">
      <alignment horizontal="center" vertical="center"/>
    </xf>
    <xf numFmtId="0" fontId="13" fillId="0" borderId="0" xfId="0" applyFont="1" applyAlignment="1">
      <alignment horizontal="center" vertical="center"/>
    </xf>
    <xf numFmtId="0" fontId="8" fillId="8" borderId="33" xfId="0" applyFont="1" applyFill="1" applyBorder="1" applyAlignment="1">
      <alignment horizontal="center" vertical="center" wrapText="1"/>
    </xf>
    <xf numFmtId="0" fontId="8" fillId="8" borderId="34" xfId="0" applyFont="1" applyFill="1" applyBorder="1" applyAlignment="1">
      <alignment horizontal="center" vertical="center" wrapText="1"/>
    </xf>
    <xf numFmtId="0" fontId="8" fillId="8" borderId="35" xfId="0" applyFont="1" applyFill="1" applyBorder="1" applyAlignment="1">
      <alignment horizontal="center" vertical="center" wrapText="1"/>
    </xf>
    <xf numFmtId="0" fontId="8" fillId="8" borderId="37" xfId="0" applyFont="1" applyFill="1" applyBorder="1" applyAlignment="1">
      <alignment horizontal="center" vertical="center" wrapText="1"/>
    </xf>
    <xf numFmtId="0" fontId="3" fillId="5" borderId="38" xfId="0" applyFont="1" applyFill="1" applyBorder="1" applyAlignment="1">
      <alignment horizontal="center"/>
    </xf>
    <xf numFmtId="0" fontId="8" fillId="0" borderId="0" xfId="0" applyFont="1" applyAlignment="1">
      <alignment horizontal="center" vertical="center" wrapText="1"/>
    </xf>
    <xf numFmtId="0" fontId="8" fillId="0" borderId="3" xfId="0" applyFont="1" applyBorder="1" applyAlignment="1">
      <alignment vertical="center" wrapText="1"/>
    </xf>
    <xf numFmtId="0" fontId="0" fillId="0" borderId="38" xfId="0" applyBorder="1"/>
    <xf numFmtId="0" fontId="6" fillId="3" borderId="36" xfId="0" applyFont="1" applyFill="1" applyBorder="1" applyAlignment="1">
      <alignment horizontal="center" vertical="center" wrapText="1"/>
    </xf>
    <xf numFmtId="0" fontId="6" fillId="3" borderId="37" xfId="0" applyFont="1" applyFill="1" applyBorder="1" applyAlignment="1">
      <alignment horizontal="left" vertical="center"/>
    </xf>
    <xf numFmtId="0" fontId="8" fillId="11" borderId="37" xfId="0" applyFont="1" applyFill="1" applyBorder="1" applyAlignment="1">
      <alignment horizontal="center" vertical="center"/>
    </xf>
    <xf numFmtId="44" fontId="4" fillId="6" borderId="38" xfId="0" applyNumberFormat="1" applyFont="1" applyFill="1" applyBorder="1" applyAlignment="1">
      <alignment vertical="center"/>
    </xf>
    <xf numFmtId="0" fontId="4" fillId="6" borderId="38" xfId="0" applyFont="1" applyFill="1" applyBorder="1" applyAlignment="1">
      <alignment vertical="center"/>
    </xf>
    <xf numFmtId="0" fontId="1" fillId="0" borderId="0" xfId="0" applyFont="1" applyAlignment="1">
      <alignment horizontal="left"/>
    </xf>
    <xf numFmtId="0" fontId="15" fillId="0" borderId="39" xfId="0" applyFont="1" applyBorder="1" applyAlignment="1">
      <alignment horizontal="right" vertical="center" wrapText="1"/>
    </xf>
    <xf numFmtId="0" fontId="15" fillId="0" borderId="40" xfId="0" applyFont="1" applyBorder="1" applyAlignment="1">
      <alignment horizontal="left" vertical="center" wrapText="1"/>
    </xf>
    <xf numFmtId="0" fontId="8" fillId="0" borderId="40" xfId="0" applyFont="1" applyBorder="1" applyAlignment="1">
      <alignment vertical="center" wrapText="1"/>
    </xf>
    <xf numFmtId="0" fontId="8" fillId="0" borderId="41" xfId="0" applyFont="1" applyBorder="1" applyAlignment="1">
      <alignment vertical="center" wrapText="1"/>
    </xf>
    <xf numFmtId="0" fontId="8" fillId="0" borderId="42" xfId="0" applyFont="1" applyBorder="1" applyAlignment="1">
      <alignment vertical="center" wrapText="1"/>
    </xf>
    <xf numFmtId="44" fontId="5" fillId="0" borderId="48" xfId="0" applyNumberFormat="1" applyFont="1" applyBorder="1" applyAlignment="1">
      <alignment vertical="center"/>
    </xf>
    <xf numFmtId="0" fontId="5" fillId="0" borderId="48" xfId="0" applyFont="1" applyBorder="1" applyAlignment="1">
      <alignment vertical="center"/>
    </xf>
    <xf numFmtId="0" fontId="15" fillId="0" borderId="49" xfId="0" applyFont="1" applyBorder="1" applyAlignment="1">
      <alignment horizontal="right" vertical="center" wrapText="1"/>
    </xf>
    <xf numFmtId="0" fontId="15" fillId="0" borderId="50" xfId="0" applyFont="1" applyBorder="1" applyAlignment="1">
      <alignment horizontal="left" vertical="center" wrapText="1"/>
    </xf>
    <xf numFmtId="0" fontId="8" fillId="0" borderId="50" xfId="0" applyFont="1" applyBorder="1" applyAlignment="1">
      <alignment vertical="center" wrapText="1"/>
    </xf>
    <xf numFmtId="0" fontId="8" fillId="0" borderId="32" xfId="0" applyFont="1" applyBorder="1" applyAlignment="1">
      <alignment vertical="center" wrapText="1"/>
    </xf>
    <xf numFmtId="0" fontId="8" fillId="0" borderId="51" xfId="0" applyFont="1" applyBorder="1" applyAlignment="1">
      <alignment vertical="center" wrapText="1"/>
    </xf>
    <xf numFmtId="44" fontId="5" fillId="0" borderId="54" xfId="0" applyNumberFormat="1" applyFont="1" applyBorder="1" applyAlignment="1">
      <alignment vertical="center"/>
    </xf>
    <xf numFmtId="0" fontId="5" fillId="0" borderId="54" xfId="0" applyFont="1" applyBorder="1" applyAlignment="1">
      <alignment vertical="center"/>
    </xf>
    <xf numFmtId="0" fontId="8" fillId="0" borderId="55" xfId="0" applyFont="1" applyBorder="1" applyAlignment="1">
      <alignment vertical="center" wrapText="1"/>
    </xf>
    <xf numFmtId="0" fontId="8" fillId="0" borderId="23" xfId="0" applyFont="1" applyBorder="1" applyAlignment="1">
      <alignment vertical="center" wrapText="1"/>
    </xf>
    <xf numFmtId="0" fontId="15" fillId="0" borderId="59" xfId="0" applyFont="1" applyBorder="1" applyAlignment="1">
      <alignment horizontal="right" vertical="center" wrapText="1"/>
    </xf>
    <xf numFmtId="0" fontId="15" fillId="0" borderId="60" xfId="0" applyFont="1" applyBorder="1" applyAlignment="1">
      <alignment horizontal="left" vertical="center" wrapText="1"/>
    </xf>
    <xf numFmtId="0" fontId="8" fillId="0" borderId="60" xfId="0" applyFont="1" applyBorder="1" applyAlignment="1">
      <alignment vertical="center" wrapText="1"/>
    </xf>
    <xf numFmtId="0" fontId="8" fillId="0" borderId="61" xfId="0" quotePrefix="1" applyFont="1" applyBorder="1" applyAlignment="1">
      <alignment vertical="center" wrapText="1"/>
    </xf>
    <xf numFmtId="44" fontId="5" fillId="0" borderId="67" xfId="0" applyNumberFormat="1" applyFont="1" applyBorder="1" applyAlignment="1">
      <alignment vertical="center"/>
    </xf>
    <xf numFmtId="0" fontId="5" fillId="0" borderId="67" xfId="0" applyFont="1" applyBorder="1" applyAlignment="1">
      <alignment vertical="center"/>
    </xf>
    <xf numFmtId="0" fontId="15" fillId="0" borderId="0" xfId="0" applyFont="1" applyAlignment="1">
      <alignment horizontal="right" vertical="center" wrapText="1"/>
    </xf>
    <xf numFmtId="0" fontId="8" fillId="0" borderId="0" xfId="0" applyFont="1" applyAlignment="1">
      <alignment vertical="center" wrapText="1"/>
    </xf>
    <xf numFmtId="0" fontId="8" fillId="0" borderId="0" xfId="0" applyFont="1" applyAlignment="1">
      <alignment vertical="top" wrapText="1"/>
    </xf>
    <xf numFmtId="0" fontId="16" fillId="0" borderId="0" xfId="0" applyFont="1" applyAlignment="1">
      <alignment vertical="center" wrapText="1"/>
    </xf>
    <xf numFmtId="44" fontId="5" fillId="0" borderId="0" xfId="0" applyNumberFormat="1" applyFont="1" applyAlignment="1">
      <alignment horizontal="left" vertical="center" wrapText="1"/>
    </xf>
    <xf numFmtId="0" fontId="17" fillId="0" borderId="67" xfId="0" applyFont="1" applyBorder="1" applyAlignment="1">
      <alignment vertical="center"/>
    </xf>
    <xf numFmtId="0" fontId="6" fillId="3" borderId="37" xfId="0" applyFont="1" applyFill="1" applyBorder="1" applyAlignment="1">
      <alignment horizontal="left" vertical="center" wrapText="1"/>
    </xf>
    <xf numFmtId="0" fontId="15" fillId="0" borderId="68" xfId="0" applyFont="1" applyBorder="1" applyAlignment="1">
      <alignment horizontal="right" vertical="center" wrapText="1"/>
    </xf>
    <xf numFmtId="0" fontId="15" fillId="0" borderId="69" xfId="0" applyFont="1" applyBorder="1" applyAlignment="1">
      <alignment horizontal="left" vertical="center" wrapText="1"/>
    </xf>
    <xf numFmtId="0" fontId="15" fillId="0" borderId="15" xfId="0" applyFont="1" applyBorder="1" applyAlignment="1">
      <alignment horizontal="left" vertical="center" wrapText="1"/>
    </xf>
    <xf numFmtId="0" fontId="15" fillId="0" borderId="70" xfId="0" applyFont="1" applyBorder="1" applyAlignment="1">
      <alignment horizontal="right" vertical="center" wrapText="1"/>
    </xf>
    <xf numFmtId="0" fontId="15" fillId="0" borderId="32" xfId="0" applyFont="1" applyBorder="1" applyAlignment="1">
      <alignment horizontal="left" vertical="center" wrapText="1"/>
    </xf>
    <xf numFmtId="0" fontId="15" fillId="0" borderId="61" xfId="0" applyFont="1" applyBorder="1" applyAlignment="1">
      <alignment horizontal="left" vertical="center" wrapText="1"/>
    </xf>
    <xf numFmtId="0" fontId="5" fillId="0" borderId="0" xfId="0" applyFont="1" applyAlignment="1">
      <alignment vertical="top" wrapText="1"/>
    </xf>
    <xf numFmtId="2" fontId="15" fillId="0" borderId="68" xfId="0" applyNumberFormat="1" applyFont="1" applyBorder="1" applyAlignment="1">
      <alignment horizontal="right" vertical="center" wrapText="1"/>
    </xf>
    <xf numFmtId="2" fontId="15" fillId="0" borderId="69" xfId="0" applyNumberFormat="1" applyFont="1" applyBorder="1" applyAlignment="1">
      <alignment horizontal="left" vertical="center" wrapText="1"/>
    </xf>
    <xf numFmtId="0" fontId="5" fillId="0" borderId="40" xfId="0" applyFont="1" applyBorder="1"/>
    <xf numFmtId="2" fontId="15" fillId="0" borderId="49" xfId="0" applyNumberFormat="1" applyFont="1" applyBorder="1" applyAlignment="1">
      <alignment horizontal="right" vertical="center" wrapText="1"/>
    </xf>
    <xf numFmtId="2" fontId="15" fillId="0" borderId="15" xfId="0" applyNumberFormat="1" applyFont="1" applyBorder="1" applyAlignment="1">
      <alignment horizontal="left" vertical="center" wrapText="1"/>
    </xf>
    <xf numFmtId="0" fontId="16" fillId="0" borderId="13" xfId="0" applyFont="1" applyBorder="1" applyAlignment="1">
      <alignment vertical="center"/>
    </xf>
    <xf numFmtId="0" fontId="16" fillId="0" borderId="14" xfId="0" applyFont="1" applyBorder="1" applyAlignment="1">
      <alignment vertical="center"/>
    </xf>
    <xf numFmtId="0" fontId="16" fillId="0" borderId="15" xfId="0" applyFont="1" applyBorder="1" applyAlignment="1">
      <alignment vertical="center"/>
    </xf>
    <xf numFmtId="0" fontId="5" fillId="0" borderId="50" xfId="0" applyFont="1" applyBorder="1"/>
    <xf numFmtId="0" fontId="5" fillId="0" borderId="50" xfId="0" applyFont="1" applyBorder="1" applyAlignment="1">
      <alignment horizontal="center"/>
    </xf>
    <xf numFmtId="2" fontId="15" fillId="0" borderId="59" xfId="0" applyNumberFormat="1" applyFont="1" applyBorder="1" applyAlignment="1">
      <alignment horizontal="right" vertical="center" wrapText="1"/>
    </xf>
    <xf numFmtId="2" fontId="15" fillId="0" borderId="73" xfId="0" applyNumberFormat="1" applyFont="1" applyBorder="1" applyAlignment="1">
      <alignment horizontal="left" vertical="center" wrapText="1"/>
    </xf>
    <xf numFmtId="0" fontId="8" fillId="0" borderId="74" xfId="0" applyFont="1" applyBorder="1" applyAlignment="1">
      <alignment vertical="center" wrapText="1"/>
    </xf>
    <xf numFmtId="0" fontId="5" fillId="0" borderId="60" xfId="0" applyFont="1" applyBorder="1" applyAlignment="1">
      <alignment horizontal="center"/>
    </xf>
    <xf numFmtId="2" fontId="15" fillId="0" borderId="0" xfId="0" applyNumberFormat="1" applyFont="1" applyAlignment="1">
      <alignment horizontal="right" vertical="center" wrapText="1"/>
    </xf>
    <xf numFmtId="0" fontId="5" fillId="0" borderId="0" xfId="0" applyFont="1"/>
    <xf numFmtId="0" fontId="8" fillId="0" borderId="40" xfId="0" applyFont="1" applyBorder="1"/>
    <xf numFmtId="0" fontId="8" fillId="0" borderId="50" xfId="0" applyFont="1" applyBorder="1"/>
    <xf numFmtId="2" fontId="15" fillId="0" borderId="61" xfId="0" applyNumberFormat="1" applyFont="1" applyBorder="1" applyAlignment="1">
      <alignment horizontal="left" vertical="center" wrapText="1"/>
    </xf>
    <xf numFmtId="0" fontId="8" fillId="0" borderId="60" xfId="0" applyFont="1" applyBorder="1"/>
    <xf numFmtId="0" fontId="20" fillId="0" borderId="0" xfId="0" applyFont="1" applyAlignment="1">
      <alignment vertical="center"/>
    </xf>
    <xf numFmtId="0" fontId="8" fillId="0" borderId="42" xfId="0" applyFont="1" applyBorder="1"/>
    <xf numFmtId="0" fontId="0" fillId="0" borderId="0" xfId="0" applyAlignment="1">
      <alignment horizontal="left"/>
    </xf>
    <xf numFmtId="2" fontId="15" fillId="0" borderId="10" xfId="0" applyNumberFormat="1" applyFont="1" applyBorder="1" applyAlignment="1">
      <alignment horizontal="left" vertical="center" wrapText="1"/>
    </xf>
    <xf numFmtId="0" fontId="8" fillId="0" borderId="81" xfId="0" applyFont="1" applyBorder="1"/>
    <xf numFmtId="44" fontId="5" fillId="0" borderId="83" xfId="0" applyNumberFormat="1" applyFont="1" applyBorder="1" applyAlignment="1">
      <alignment vertical="center"/>
    </xf>
    <xf numFmtId="0" fontId="5" fillId="0" borderId="83" xfId="0" applyFont="1" applyBorder="1" applyAlignment="1">
      <alignment vertical="center"/>
    </xf>
    <xf numFmtId="0" fontId="21" fillId="0" borderId="84" xfId="0" applyFont="1" applyBorder="1"/>
    <xf numFmtId="0" fontId="20" fillId="0" borderId="84" xfId="0" applyFont="1" applyBorder="1"/>
    <xf numFmtId="0" fontId="0" fillId="0" borderId="84" xfId="0" applyBorder="1"/>
    <xf numFmtId="0" fontId="0" fillId="0" borderId="0" xfId="0" applyAlignment="1">
      <alignment horizontal="right"/>
    </xf>
    <xf numFmtId="44" fontId="0" fillId="0" borderId="87" xfId="0" applyNumberFormat="1" applyBorder="1"/>
    <xf numFmtId="44" fontId="6" fillId="6" borderId="87" xfId="0" applyNumberFormat="1" applyFont="1" applyFill="1" applyBorder="1" applyAlignment="1">
      <alignment vertical="center"/>
    </xf>
    <xf numFmtId="44" fontId="0" fillId="0" borderId="0" xfId="0" applyNumberFormat="1"/>
    <xf numFmtId="0" fontId="21" fillId="0" borderId="0" xfId="0" applyFont="1"/>
    <xf numFmtId="0" fontId="20" fillId="0" borderId="0" xfId="0" applyFont="1"/>
    <xf numFmtId="44" fontId="22" fillId="0" borderId="87" xfId="0" applyNumberFormat="1" applyFont="1" applyBorder="1"/>
    <xf numFmtId="0" fontId="0" fillId="0" borderId="90" xfId="0" applyBorder="1"/>
    <xf numFmtId="0" fontId="3" fillId="3" borderId="91" xfId="0" applyFont="1" applyFill="1" applyBorder="1"/>
    <xf numFmtId="0" fontId="1" fillId="12" borderId="18" xfId="0" applyFont="1" applyFill="1" applyBorder="1"/>
    <xf numFmtId="0" fontId="1" fillId="12" borderId="92" xfId="0" applyFont="1" applyFill="1" applyBorder="1"/>
    <xf numFmtId="0" fontId="1" fillId="12" borderId="19" xfId="0" applyFont="1" applyFill="1" applyBorder="1"/>
    <xf numFmtId="0" fontId="1" fillId="0" borderId="93" xfId="0" applyFont="1" applyBorder="1" applyAlignment="1">
      <alignment horizontal="left" vertical="top" wrapText="1"/>
    </xf>
    <xf numFmtId="0" fontId="1" fillId="0" borderId="84" xfId="0" applyFont="1" applyBorder="1" applyAlignment="1">
      <alignment horizontal="left" vertical="top" wrapText="1"/>
    </xf>
    <xf numFmtId="0" fontId="1" fillId="0" borderId="94" xfId="0" applyFont="1" applyBorder="1" applyAlignment="1">
      <alignment horizontal="left" vertical="top" wrapText="1"/>
    </xf>
    <xf numFmtId="0" fontId="1" fillId="0" borderId="95" xfId="0" applyFont="1" applyBorder="1" applyAlignment="1">
      <alignment horizontal="left" vertical="top" wrapText="1"/>
    </xf>
    <xf numFmtId="0" fontId="1" fillId="0" borderId="0" xfId="0" applyFont="1" applyAlignment="1">
      <alignment horizontal="left" vertical="top" wrapText="1"/>
    </xf>
    <xf numFmtId="0" fontId="1" fillId="0" borderId="96" xfId="0" applyFont="1" applyBorder="1" applyAlignment="1">
      <alignment horizontal="left" vertical="top" wrapText="1"/>
    </xf>
    <xf numFmtId="0" fontId="1" fillId="0" borderId="46" xfId="0" applyFont="1" applyBorder="1" applyAlignment="1">
      <alignment horizontal="left" vertical="top" wrapText="1"/>
    </xf>
    <xf numFmtId="0" fontId="1" fillId="0" borderId="90" xfId="0" applyFont="1" applyBorder="1" applyAlignment="1">
      <alignment horizontal="left" vertical="top" wrapText="1"/>
    </xf>
    <xf numFmtId="0" fontId="1" fillId="0" borderId="97" xfId="0" applyFont="1" applyBorder="1" applyAlignment="1">
      <alignment horizontal="left" vertical="top" wrapText="1"/>
    </xf>
    <xf numFmtId="0" fontId="8" fillId="0" borderId="37" xfId="0" applyFont="1" applyBorder="1"/>
    <xf numFmtId="0" fontId="8" fillId="0" borderId="82" xfId="0" applyFont="1" applyBorder="1"/>
    <xf numFmtId="0" fontId="16" fillId="0" borderId="60" xfId="0" applyFont="1" applyBorder="1" applyAlignment="1">
      <alignment vertical="center"/>
    </xf>
    <xf numFmtId="44" fontId="0" fillId="0" borderId="60" xfId="0" applyNumberFormat="1" applyBorder="1"/>
    <xf numFmtId="44" fontId="0" fillId="0" borderId="78" xfId="0" applyNumberFormat="1" applyBorder="1"/>
    <xf numFmtId="44" fontId="0" fillId="0" borderId="85" xfId="0" applyNumberFormat="1" applyBorder="1"/>
    <xf numFmtId="0" fontId="0" fillId="0" borderId="86" xfId="0" applyBorder="1"/>
    <xf numFmtId="44" fontId="8" fillId="11" borderId="88" xfId="0" applyNumberFormat="1" applyFont="1" applyFill="1" applyBorder="1" applyAlignment="1">
      <alignment horizontal="center" vertical="center" wrapText="1"/>
    </xf>
    <xf numFmtId="44" fontId="8" fillId="11" borderId="89" xfId="0" applyNumberFormat="1" applyFont="1" applyFill="1" applyBorder="1" applyAlignment="1">
      <alignment horizontal="center" vertical="center" wrapText="1"/>
    </xf>
    <xf numFmtId="0" fontId="8" fillId="0" borderId="60" xfId="0" applyFont="1" applyBorder="1"/>
    <xf numFmtId="0" fontId="8" fillId="11" borderId="37" xfId="0" applyFont="1" applyFill="1" applyBorder="1" applyAlignment="1">
      <alignment horizontal="center" vertical="center"/>
    </xf>
    <xf numFmtId="0" fontId="18" fillId="11" borderId="37" xfId="0" applyFont="1" applyFill="1" applyBorder="1" applyAlignment="1">
      <alignment horizontal="center" vertical="center" wrapText="1"/>
    </xf>
    <xf numFmtId="44" fontId="8" fillId="11" borderId="37" xfId="0" applyNumberFormat="1" applyFont="1" applyFill="1" applyBorder="1" applyAlignment="1">
      <alignment horizontal="center" vertical="center" wrapText="1"/>
    </xf>
    <xf numFmtId="44" fontId="8" fillId="11" borderId="34" xfId="0" applyNumberFormat="1" applyFont="1" applyFill="1" applyBorder="1" applyAlignment="1">
      <alignment horizontal="center" vertical="center" wrapText="1"/>
    </xf>
    <xf numFmtId="0" fontId="8" fillId="0" borderId="50" xfId="0" applyFont="1" applyBorder="1"/>
    <xf numFmtId="0" fontId="16" fillId="0" borderId="50" xfId="0" applyFont="1" applyBorder="1" applyAlignment="1">
      <alignment vertical="center"/>
    </xf>
    <xf numFmtId="44" fontId="0" fillId="0" borderId="50" xfId="0" applyNumberFormat="1" applyBorder="1"/>
    <xf numFmtId="44" fontId="0" fillId="0" borderId="77" xfId="0" applyNumberFormat="1" applyBorder="1"/>
    <xf numFmtId="0" fontId="8" fillId="0" borderId="42" xfId="0" applyFont="1" applyBorder="1"/>
    <xf numFmtId="0" fontId="16" fillId="0" borderId="42" xfId="0" applyFont="1" applyBorder="1" applyAlignment="1">
      <alignment vertical="center"/>
    </xf>
    <xf numFmtId="44" fontId="0" fillId="0" borderId="42" xfId="0" applyNumberFormat="1" applyBorder="1"/>
    <xf numFmtId="44" fontId="0" fillId="0" borderId="80" xfId="0" applyNumberFormat="1" applyBorder="1"/>
    <xf numFmtId="0" fontId="8" fillId="0" borderId="62" xfId="0" applyFont="1" applyBorder="1"/>
    <xf numFmtId="0" fontId="8" fillId="0" borderId="63" xfId="0" applyFont="1" applyBorder="1"/>
    <xf numFmtId="0" fontId="8" fillId="0" borderId="61" xfId="0" applyFont="1" applyBorder="1"/>
    <xf numFmtId="0" fontId="16" fillId="0" borderId="62" xfId="0" applyFont="1" applyBorder="1" applyAlignment="1">
      <alignment vertical="center"/>
    </xf>
    <xf numFmtId="0" fontId="16" fillId="0" borderId="63" xfId="0" applyFont="1" applyBorder="1" applyAlignment="1">
      <alignment vertical="center"/>
    </xf>
    <xf numFmtId="0" fontId="16" fillId="0" borderId="61" xfId="0" applyFont="1" applyBorder="1" applyAlignment="1">
      <alignment vertical="center"/>
    </xf>
    <xf numFmtId="44" fontId="5" fillId="0" borderId="62" xfId="0" applyNumberFormat="1" applyFont="1" applyBorder="1"/>
    <xf numFmtId="44" fontId="5" fillId="0" borderId="75" xfId="0" applyNumberFormat="1" applyFont="1" applyBorder="1"/>
    <xf numFmtId="0" fontId="8" fillId="0" borderId="13" xfId="0" applyFont="1" applyBorder="1"/>
    <xf numFmtId="0" fontId="8" fillId="0" borderId="14" xfId="0" applyFont="1" applyBorder="1"/>
    <xf numFmtId="0" fontId="8" fillId="0" borderId="15" xfId="0" applyFont="1" applyBorder="1"/>
    <xf numFmtId="0" fontId="16" fillId="0" borderId="13" xfId="0" applyFont="1" applyBorder="1" applyAlignment="1">
      <alignment vertical="center"/>
    </xf>
    <xf numFmtId="0" fontId="16" fillId="0" borderId="14" xfId="0" applyFont="1" applyBorder="1" applyAlignment="1">
      <alignment vertical="center"/>
    </xf>
    <xf numFmtId="0" fontId="16" fillId="0" borderId="15" xfId="0" applyFont="1" applyBorder="1" applyAlignment="1">
      <alignment vertical="center"/>
    </xf>
    <xf numFmtId="44" fontId="5" fillId="0" borderId="13" xfId="0" applyNumberFormat="1" applyFont="1" applyBorder="1"/>
    <xf numFmtId="44" fontId="5" fillId="0" borderId="72" xfId="0" applyNumberFormat="1" applyFont="1" applyBorder="1"/>
    <xf numFmtId="0" fontId="8" fillId="0" borderId="79" xfId="0" applyFont="1" applyBorder="1"/>
    <xf numFmtId="0" fontId="8" fillId="0" borderId="12" xfId="0" applyFont="1" applyBorder="1"/>
    <xf numFmtId="0" fontId="8" fillId="0" borderId="69" xfId="0" applyFont="1" applyBorder="1"/>
    <xf numFmtId="0" fontId="16" fillId="0" borderId="79" xfId="0" applyFont="1" applyBorder="1" applyAlignment="1">
      <alignment vertical="center"/>
    </xf>
    <xf numFmtId="0" fontId="16" fillId="0" borderId="12" xfId="0" applyFont="1" applyBorder="1" applyAlignment="1">
      <alignment vertical="center"/>
    </xf>
    <xf numFmtId="0" fontId="16" fillId="0" borderId="69" xfId="0" applyFont="1" applyBorder="1" applyAlignment="1">
      <alignment vertical="center"/>
    </xf>
    <xf numFmtId="44" fontId="5" fillId="0" borderId="43" xfId="0" applyNumberFormat="1" applyFont="1" applyBorder="1"/>
    <xf numFmtId="44" fontId="5" fillId="0" borderId="71" xfId="0" applyNumberFormat="1" applyFont="1" applyBorder="1"/>
    <xf numFmtId="0" fontId="19" fillId="0" borderId="60" xfId="0" applyFont="1" applyBorder="1"/>
    <xf numFmtId="0" fontId="19" fillId="0" borderId="78" xfId="0" applyFont="1" applyBorder="1"/>
    <xf numFmtId="44" fontId="19" fillId="0" borderId="50" xfId="0" applyNumberFormat="1" applyFont="1" applyBorder="1"/>
    <xf numFmtId="44" fontId="19" fillId="0" borderId="77" xfId="0" applyNumberFormat="1" applyFont="1" applyBorder="1"/>
    <xf numFmtId="0" fontId="8" fillId="0" borderId="40" xfId="0" applyFont="1" applyBorder="1"/>
    <xf numFmtId="0" fontId="16" fillId="0" borderId="40" xfId="0" applyFont="1" applyBorder="1" applyAlignment="1">
      <alignment vertical="center"/>
    </xf>
    <xf numFmtId="44" fontId="19" fillId="0" borderId="40" xfId="0" applyNumberFormat="1" applyFont="1" applyBorder="1"/>
    <xf numFmtId="44" fontId="19" fillId="0" borderId="76" xfId="0" applyNumberFormat="1" applyFont="1" applyBorder="1"/>
    <xf numFmtId="44" fontId="0" fillId="0" borderId="13" xfId="0" applyNumberFormat="1" applyBorder="1"/>
    <xf numFmtId="44" fontId="0" fillId="0" borderId="72" xfId="0" applyNumberFormat="1" applyBorder="1"/>
    <xf numFmtId="0" fontId="16" fillId="0" borderId="62" xfId="0" applyFont="1" applyBorder="1" applyAlignment="1">
      <alignment horizontal="left" vertical="center"/>
    </xf>
    <xf numFmtId="0" fontId="16" fillId="0" borderId="63" xfId="0" applyFont="1" applyBorder="1" applyAlignment="1">
      <alignment horizontal="left" vertical="center"/>
    </xf>
    <xf numFmtId="0" fontId="16" fillId="0" borderId="61" xfId="0" applyFont="1" applyBorder="1" applyAlignment="1">
      <alignment horizontal="left" vertical="center"/>
    </xf>
    <xf numFmtId="0" fontId="0" fillId="0" borderId="62" xfId="0" applyBorder="1"/>
    <xf numFmtId="0" fontId="0" fillId="0" borderId="75" xfId="0" applyBorder="1"/>
    <xf numFmtId="0" fontId="8" fillId="11" borderId="37" xfId="0" applyFont="1" applyFill="1" applyBorder="1" applyAlignment="1">
      <alignment horizontal="center" vertical="center" wrapText="1"/>
    </xf>
    <xf numFmtId="44" fontId="0" fillId="0" borderId="13" xfId="0" applyNumberFormat="1" applyBorder="1" applyAlignment="1">
      <alignment horizontal="center"/>
    </xf>
    <xf numFmtId="44" fontId="0" fillId="0" borderId="72" xfId="0" applyNumberFormat="1" applyBorder="1" applyAlignment="1">
      <alignment horizontal="center"/>
    </xf>
    <xf numFmtId="0" fontId="16" fillId="0" borderId="43" xfId="0" applyFont="1" applyBorder="1" applyAlignment="1">
      <alignment vertical="center"/>
    </xf>
    <xf numFmtId="0" fontId="16" fillId="0" borderId="44" xfId="0" applyFont="1" applyBorder="1" applyAlignment="1">
      <alignment vertical="center"/>
    </xf>
    <xf numFmtId="0" fontId="16" fillId="0" borderId="41" xfId="0" applyFont="1" applyBorder="1" applyAlignment="1">
      <alignment vertical="center"/>
    </xf>
    <xf numFmtId="44" fontId="0" fillId="0" borderId="43" xfId="0" applyNumberFormat="1" applyBorder="1"/>
    <xf numFmtId="44" fontId="0" fillId="0" borderId="71" xfId="0" applyNumberFormat="1" applyBorder="1"/>
    <xf numFmtId="0" fontId="8" fillId="0" borderId="13" xfId="0" applyFont="1" applyBorder="1" applyAlignment="1">
      <alignment vertical="center" wrapText="1"/>
    </xf>
    <xf numFmtId="0" fontId="8" fillId="0" borderId="14" xfId="0" applyFont="1" applyBorder="1" applyAlignment="1">
      <alignment vertical="center" wrapText="1"/>
    </xf>
    <xf numFmtId="0" fontId="8" fillId="0" borderId="15" xfId="0" applyFont="1" applyBorder="1" applyAlignment="1">
      <alignment vertical="center" wrapText="1"/>
    </xf>
    <xf numFmtId="0" fontId="16" fillId="0" borderId="13" xfId="0" applyFont="1" applyBorder="1" applyAlignment="1">
      <alignment horizontal="left" vertical="center" wrapText="1"/>
    </xf>
    <xf numFmtId="0" fontId="16" fillId="0" borderId="14" xfId="0" applyFont="1" applyBorder="1" applyAlignment="1">
      <alignment horizontal="left" vertical="center" wrapText="1"/>
    </xf>
    <xf numFmtId="0" fontId="16" fillId="0" borderId="52" xfId="0" applyFont="1" applyBorder="1" applyAlignment="1">
      <alignment horizontal="left" vertical="center" wrapText="1"/>
    </xf>
    <xf numFmtId="44" fontId="5" fillId="0" borderId="18" xfId="0" applyNumberFormat="1" applyFont="1" applyBorder="1" applyAlignment="1">
      <alignment horizontal="left" vertical="center" wrapText="1"/>
    </xf>
    <xf numFmtId="44" fontId="5" fillId="0" borderId="53" xfId="0" applyNumberFormat="1" applyFont="1" applyBorder="1" applyAlignment="1">
      <alignment horizontal="left" vertical="center" wrapText="1"/>
    </xf>
    <xf numFmtId="0" fontId="8" fillId="0" borderId="62" xfId="0" applyFont="1" applyBorder="1" applyAlignment="1">
      <alignment vertical="center" wrapText="1"/>
    </xf>
    <xf numFmtId="0" fontId="8" fillId="0" borderId="63" xfId="0" applyFont="1" applyBorder="1" applyAlignment="1">
      <alignment vertical="center" wrapText="1"/>
    </xf>
    <xf numFmtId="0" fontId="8" fillId="0" borderId="61" xfId="0" applyFont="1" applyBorder="1" applyAlignment="1">
      <alignment vertical="center" wrapText="1"/>
    </xf>
    <xf numFmtId="0" fontId="16" fillId="0" borderId="62" xfId="0" applyFont="1" applyBorder="1" applyAlignment="1">
      <alignment horizontal="left" vertical="center" wrapText="1"/>
    </xf>
    <xf numFmtId="0" fontId="16" fillId="0" borderId="63" xfId="0" applyFont="1" applyBorder="1" applyAlignment="1">
      <alignment horizontal="left" vertical="center" wrapText="1"/>
    </xf>
    <xf numFmtId="0" fontId="16" fillId="0" borderId="64" xfId="0" applyFont="1" applyBorder="1" applyAlignment="1">
      <alignment horizontal="left" vertical="center" wrapText="1"/>
    </xf>
    <xf numFmtId="44" fontId="5" fillId="0" borderId="65" xfId="0" applyNumberFormat="1" applyFont="1" applyBorder="1" applyAlignment="1">
      <alignment horizontal="left" vertical="center" wrapText="1"/>
    </xf>
    <xf numFmtId="44" fontId="5" fillId="0" borderId="66" xfId="0" applyNumberFormat="1" applyFont="1" applyBorder="1" applyAlignment="1">
      <alignment horizontal="left" vertical="center" wrapText="1"/>
    </xf>
    <xf numFmtId="0" fontId="8" fillId="0" borderId="43" xfId="0" applyFont="1" applyBorder="1" applyAlignment="1">
      <alignment vertical="center" wrapText="1"/>
    </xf>
    <xf numFmtId="0" fontId="8" fillId="0" borderId="44" xfId="0" applyFont="1" applyBorder="1" applyAlignment="1">
      <alignment vertical="center" wrapText="1"/>
    </xf>
    <xf numFmtId="0" fontId="8" fillId="0" borderId="41" xfId="0" applyFont="1" applyBorder="1" applyAlignment="1">
      <alignment vertical="center" wrapText="1"/>
    </xf>
    <xf numFmtId="0" fontId="16" fillId="0" borderId="43" xfId="0" applyFont="1" applyBorder="1" applyAlignment="1">
      <alignment horizontal="left" vertical="center" wrapText="1"/>
    </xf>
    <xf numFmtId="0" fontId="16" fillId="0" borderId="44" xfId="0" applyFont="1" applyBorder="1" applyAlignment="1">
      <alignment horizontal="left" vertical="center" wrapText="1"/>
    </xf>
    <xf numFmtId="0" fontId="16" fillId="0" borderId="45" xfId="0" applyFont="1" applyBorder="1" applyAlignment="1">
      <alignment horizontal="left" vertical="center" wrapText="1"/>
    </xf>
    <xf numFmtId="44" fontId="5" fillId="0" borderId="46" xfId="0" applyNumberFormat="1" applyFont="1" applyBorder="1" applyAlignment="1">
      <alignment horizontal="left" vertical="center" wrapText="1"/>
    </xf>
    <xf numFmtId="44" fontId="5" fillId="0" borderId="47" xfId="0" applyNumberFormat="1" applyFont="1" applyBorder="1" applyAlignment="1">
      <alignment horizontal="left" vertical="center" wrapText="1"/>
    </xf>
    <xf numFmtId="0" fontId="8" fillId="0" borderId="50" xfId="0" applyFont="1" applyBorder="1" applyAlignment="1">
      <alignment vertical="center" wrapText="1"/>
    </xf>
    <xf numFmtId="0" fontId="8" fillId="0" borderId="60" xfId="0" quotePrefix="1" applyFont="1" applyBorder="1" applyAlignment="1">
      <alignment vertical="center" wrapText="1"/>
    </xf>
    <xf numFmtId="0" fontId="8" fillId="0" borderId="60" xfId="0" applyFont="1" applyBorder="1" applyAlignment="1">
      <alignment vertical="center" wrapText="1"/>
    </xf>
    <xf numFmtId="0" fontId="8" fillId="0" borderId="58" xfId="0" applyFont="1" applyBorder="1" applyAlignment="1">
      <alignment vertical="center" wrapText="1"/>
    </xf>
    <xf numFmtId="0" fontId="16" fillId="0" borderId="57" xfId="0" applyFont="1" applyBorder="1" applyAlignment="1">
      <alignment horizontal="left" vertical="center" wrapText="1"/>
    </xf>
    <xf numFmtId="0" fontId="8" fillId="0" borderId="51" xfId="0" applyFont="1" applyBorder="1" applyAlignment="1">
      <alignment vertical="center" wrapText="1"/>
    </xf>
    <xf numFmtId="0" fontId="8" fillId="0" borderId="56" xfId="0" applyFont="1" applyBorder="1" applyAlignment="1">
      <alignment vertical="center" wrapText="1"/>
    </xf>
    <xf numFmtId="0" fontId="8" fillId="0" borderId="42" xfId="0" applyFont="1" applyBorder="1" applyAlignment="1">
      <alignment vertical="center" wrapText="1"/>
    </xf>
    <xf numFmtId="0" fontId="7" fillId="3" borderId="13"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15" xfId="0" applyFont="1" applyFill="1" applyBorder="1" applyAlignment="1">
      <alignment horizontal="center" vertical="center"/>
    </xf>
    <xf numFmtId="0" fontId="14" fillId="9" borderId="13" xfId="0" applyFont="1" applyFill="1" applyBorder="1" applyAlignment="1">
      <alignment horizontal="center" vertical="center"/>
    </xf>
    <xf numFmtId="0" fontId="14" fillId="9" borderId="14" xfId="0" applyFont="1" applyFill="1" applyBorder="1" applyAlignment="1">
      <alignment horizontal="center" vertical="center"/>
    </xf>
    <xf numFmtId="0" fontId="14" fillId="9" borderId="15" xfId="0" applyFont="1" applyFill="1" applyBorder="1" applyAlignment="1">
      <alignment horizontal="center" vertical="center"/>
    </xf>
    <xf numFmtId="0" fontId="8" fillId="10" borderId="13" xfId="0" applyFont="1" applyFill="1" applyBorder="1" applyAlignment="1">
      <alignment horizontal="center" vertical="center"/>
    </xf>
    <xf numFmtId="0" fontId="8" fillId="10" borderId="14" xfId="0" applyFont="1" applyFill="1" applyBorder="1" applyAlignment="1">
      <alignment horizontal="center" vertical="center"/>
    </xf>
    <xf numFmtId="0" fontId="8" fillId="10" borderId="16" xfId="0" applyFont="1" applyFill="1" applyBorder="1" applyAlignment="1">
      <alignment horizontal="center" vertical="center"/>
    </xf>
    <xf numFmtId="0" fontId="8" fillId="10" borderId="32" xfId="0" applyFont="1" applyFill="1" applyBorder="1" applyAlignment="1">
      <alignment horizontal="center" vertical="center"/>
    </xf>
    <xf numFmtId="0" fontId="8" fillId="8" borderId="36" xfId="0" applyFont="1" applyFill="1" applyBorder="1" applyAlignment="1">
      <alignment horizontal="center" vertical="center" wrapText="1"/>
    </xf>
    <xf numFmtId="0" fontId="8" fillId="8" borderId="37" xfId="0" applyFont="1" applyFill="1" applyBorder="1" applyAlignment="1">
      <alignment horizontal="center" vertical="center" wrapText="1"/>
    </xf>
    <xf numFmtId="0" fontId="8" fillId="8" borderId="34" xfId="0" applyFont="1" applyFill="1" applyBorder="1" applyAlignment="1">
      <alignment horizontal="center" vertical="center" wrapText="1"/>
    </xf>
    <xf numFmtId="0" fontId="8" fillId="0" borderId="3" xfId="0" applyFont="1" applyBorder="1" applyAlignment="1">
      <alignment vertical="center" wrapText="1"/>
    </xf>
    <xf numFmtId="0" fontId="8" fillId="0" borderId="0" xfId="0" applyFont="1" applyAlignment="1">
      <alignment horizontal="center" vertical="center" wrapText="1"/>
    </xf>
    <xf numFmtId="164" fontId="5" fillId="0" borderId="12" xfId="0" applyNumberFormat="1" applyFont="1" applyBorder="1" applyAlignment="1">
      <alignment horizontal="right" wrapText="1"/>
    </xf>
    <xf numFmtId="0" fontId="5" fillId="0" borderId="18" xfId="0" applyFont="1" applyBorder="1"/>
    <xf numFmtId="0" fontId="5" fillId="0" borderId="19" xfId="0" applyFont="1" applyBorder="1"/>
    <xf numFmtId="0" fontId="8" fillId="8" borderId="20" xfId="0" applyFont="1" applyFill="1" applyBorder="1" applyAlignment="1">
      <alignment horizontal="right" vertical="top" wrapText="1"/>
    </xf>
    <xf numFmtId="0" fontId="8" fillId="8" borderId="25" xfId="0" applyFont="1" applyFill="1" applyBorder="1" applyAlignment="1">
      <alignment horizontal="right" vertical="top" wrapText="1"/>
    </xf>
    <xf numFmtId="0" fontId="8" fillId="8" borderId="28" xfId="0" applyFont="1" applyFill="1" applyBorder="1" applyAlignment="1">
      <alignment horizontal="right" vertical="top" wrapText="1"/>
    </xf>
    <xf numFmtId="0" fontId="5" fillId="0" borderId="21" xfId="0" applyFont="1" applyBorder="1" applyAlignment="1">
      <alignment horizontal="left" vertical="top"/>
    </xf>
    <xf numFmtId="0" fontId="5" fillId="0" borderId="22" xfId="0" applyFont="1" applyBorder="1" applyAlignment="1">
      <alignment horizontal="left" vertical="top"/>
    </xf>
    <xf numFmtId="0" fontId="5" fillId="0" borderId="23" xfId="0" applyFont="1" applyBorder="1" applyAlignment="1">
      <alignment horizontal="left" vertical="top"/>
    </xf>
    <xf numFmtId="0" fontId="5" fillId="0" borderId="26" xfId="0" applyFont="1" applyBorder="1" applyAlignment="1">
      <alignment horizontal="left" vertical="top"/>
    </xf>
    <xf numFmtId="0" fontId="5" fillId="0" borderId="0" xfId="0" applyFont="1" applyAlignment="1">
      <alignment horizontal="left" vertical="top"/>
    </xf>
    <xf numFmtId="0" fontId="5" fillId="0" borderId="27" xfId="0" applyFont="1" applyBorder="1" applyAlignment="1">
      <alignment horizontal="left" vertical="top"/>
    </xf>
    <xf numFmtId="0" fontId="5" fillId="0" borderId="29" xfId="0" applyFont="1" applyBorder="1" applyAlignment="1">
      <alignment horizontal="left" vertical="top"/>
    </xf>
    <xf numFmtId="0" fontId="5" fillId="0" borderId="30" xfId="0" applyFont="1" applyBorder="1" applyAlignment="1">
      <alignment horizontal="left" vertical="top"/>
    </xf>
    <xf numFmtId="0" fontId="5" fillId="0" borderId="31" xfId="0" applyFont="1" applyBorder="1" applyAlignment="1">
      <alignment horizontal="left" vertical="top"/>
    </xf>
    <xf numFmtId="0" fontId="8" fillId="8" borderId="24" xfId="0" applyFont="1" applyFill="1" applyBorder="1" applyAlignment="1">
      <alignment horizontal="right" vertical="center"/>
    </xf>
    <xf numFmtId="0" fontId="10" fillId="0" borderId="24" xfId="0" applyFont="1" applyBorder="1" applyAlignment="1">
      <alignment horizontal="center" vertical="center"/>
    </xf>
    <xf numFmtId="0" fontId="5" fillId="0" borderId="18" xfId="0" applyFont="1" applyBorder="1" applyAlignment="1">
      <alignment horizontal="left"/>
    </xf>
    <xf numFmtId="0" fontId="5" fillId="0" borderId="19" xfId="0" applyFont="1" applyBorder="1" applyAlignment="1">
      <alignment horizontal="left"/>
    </xf>
    <xf numFmtId="0" fontId="23" fillId="0" borderId="18" xfId="1" applyBorder="1"/>
    <xf numFmtId="0" fontId="9" fillId="0" borderId="19" xfId="0" applyFon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8</xdr:col>
      <xdr:colOff>65506</xdr:colOff>
      <xdr:row>1</xdr:row>
      <xdr:rowOff>50316</xdr:rowOff>
    </xdr:from>
    <xdr:to>
      <xdr:col>11</xdr:col>
      <xdr:colOff>409851</xdr:colOff>
      <xdr:row>4</xdr:row>
      <xdr:rowOff>125603</xdr:rowOff>
    </xdr:to>
    <xdr:pic>
      <xdr:nvPicPr>
        <xdr:cNvPr id="2" name="Picture 1">
          <a:extLst>
            <a:ext uri="{FF2B5EF4-FFF2-40B4-BE49-F238E27FC236}">
              <a16:creationId xmlns:a16="http://schemas.microsoft.com/office/drawing/2014/main" id="{AFF5E036-80FE-49B2-855C-F5967A9F0E83}"/>
            </a:ext>
          </a:extLst>
        </xdr:cNvPr>
        <xdr:cNvPicPr>
          <a:picLocks noChangeAspect="1"/>
        </xdr:cNvPicPr>
      </xdr:nvPicPr>
      <xdr:blipFill>
        <a:blip xmlns:r="http://schemas.openxmlformats.org/officeDocument/2006/relationships" r:embed="rId1"/>
        <a:stretch>
          <a:fillRect/>
        </a:stretch>
      </xdr:blipFill>
      <xdr:spPr>
        <a:xfrm>
          <a:off x="6371056" y="240816"/>
          <a:ext cx="3227245" cy="722987"/>
        </a:xfrm>
        <a:prstGeom prst="rect">
          <a:avLst/>
        </a:prstGeom>
      </xdr:spPr>
    </xdr:pic>
    <xdr:clientData/>
  </xdr:twoCellAnchor>
  <xdr:twoCellAnchor editAs="absolute">
    <xdr:from>
      <xdr:col>1</xdr:col>
      <xdr:colOff>457373</xdr:colOff>
      <xdr:row>1</xdr:row>
      <xdr:rowOff>48198</xdr:rowOff>
    </xdr:from>
    <xdr:to>
      <xdr:col>3</xdr:col>
      <xdr:colOff>184245</xdr:colOff>
      <xdr:row>4</xdr:row>
      <xdr:rowOff>169770</xdr:rowOff>
    </xdr:to>
    <xdr:pic>
      <xdr:nvPicPr>
        <xdr:cNvPr id="3" name="Picture 2">
          <a:extLst>
            <a:ext uri="{FF2B5EF4-FFF2-40B4-BE49-F238E27FC236}">
              <a16:creationId xmlns:a16="http://schemas.microsoft.com/office/drawing/2014/main" id="{5DCEFDB1-D7E6-4EBD-A79F-415617ED41A2}"/>
            </a:ext>
          </a:extLst>
        </xdr:cNvPr>
        <xdr:cNvPicPr>
          <a:picLocks noChangeAspect="1"/>
        </xdr:cNvPicPr>
      </xdr:nvPicPr>
      <xdr:blipFill>
        <a:blip xmlns:r="http://schemas.openxmlformats.org/officeDocument/2006/relationships" r:embed="rId2"/>
        <a:stretch>
          <a:fillRect/>
        </a:stretch>
      </xdr:blipFill>
      <xdr:spPr>
        <a:xfrm>
          <a:off x="635173" y="238698"/>
          <a:ext cx="1428672" cy="76927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8</xdr:col>
      <xdr:colOff>65506</xdr:colOff>
      <xdr:row>1</xdr:row>
      <xdr:rowOff>50316</xdr:rowOff>
    </xdr:from>
    <xdr:to>
      <xdr:col>11</xdr:col>
      <xdr:colOff>409851</xdr:colOff>
      <xdr:row>4</xdr:row>
      <xdr:rowOff>125603</xdr:rowOff>
    </xdr:to>
    <xdr:pic>
      <xdr:nvPicPr>
        <xdr:cNvPr id="2" name="Picture 1">
          <a:extLst>
            <a:ext uri="{FF2B5EF4-FFF2-40B4-BE49-F238E27FC236}">
              <a16:creationId xmlns:a16="http://schemas.microsoft.com/office/drawing/2014/main" id="{A371E77F-F246-47FE-8663-E768957FF492}"/>
            </a:ext>
          </a:extLst>
        </xdr:cNvPr>
        <xdr:cNvPicPr>
          <a:picLocks noChangeAspect="1"/>
        </xdr:cNvPicPr>
      </xdr:nvPicPr>
      <xdr:blipFill>
        <a:blip xmlns:r="http://schemas.openxmlformats.org/officeDocument/2006/relationships" r:embed="rId1"/>
        <a:stretch>
          <a:fillRect/>
        </a:stretch>
      </xdr:blipFill>
      <xdr:spPr>
        <a:xfrm>
          <a:off x="6371056" y="240816"/>
          <a:ext cx="3227245" cy="722987"/>
        </a:xfrm>
        <a:prstGeom prst="rect">
          <a:avLst/>
        </a:prstGeom>
      </xdr:spPr>
    </xdr:pic>
    <xdr:clientData/>
  </xdr:twoCellAnchor>
  <xdr:twoCellAnchor editAs="absolute">
    <xdr:from>
      <xdr:col>1</xdr:col>
      <xdr:colOff>457373</xdr:colOff>
      <xdr:row>1</xdr:row>
      <xdr:rowOff>48198</xdr:rowOff>
    </xdr:from>
    <xdr:to>
      <xdr:col>3</xdr:col>
      <xdr:colOff>184245</xdr:colOff>
      <xdr:row>4</xdr:row>
      <xdr:rowOff>169770</xdr:rowOff>
    </xdr:to>
    <xdr:pic>
      <xdr:nvPicPr>
        <xdr:cNvPr id="3" name="Picture 2">
          <a:extLst>
            <a:ext uri="{FF2B5EF4-FFF2-40B4-BE49-F238E27FC236}">
              <a16:creationId xmlns:a16="http://schemas.microsoft.com/office/drawing/2014/main" id="{E406F939-4837-43E0-AD11-DFB6CCD47194}"/>
            </a:ext>
          </a:extLst>
        </xdr:cNvPr>
        <xdr:cNvPicPr>
          <a:picLocks noChangeAspect="1"/>
        </xdr:cNvPicPr>
      </xdr:nvPicPr>
      <xdr:blipFill>
        <a:blip xmlns:r="http://schemas.openxmlformats.org/officeDocument/2006/relationships" r:embed="rId2"/>
        <a:stretch>
          <a:fillRect/>
        </a:stretch>
      </xdr:blipFill>
      <xdr:spPr>
        <a:xfrm>
          <a:off x="635173" y="238698"/>
          <a:ext cx="1428672" cy="769272"/>
        </a:xfrm>
        <a:prstGeom prst="rect">
          <a:avLst/>
        </a:prstGeom>
      </xdr:spPr>
    </xdr:pic>
    <xdr:clientData/>
  </xdr:twoCellAnchor>
</xdr:wsDr>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mailto:jperez@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C707E-09E7-4B40-ACD1-7041FC9FD5AA}">
  <dimension ref="B1:P128"/>
  <sheetViews>
    <sheetView showGridLines="0" tabSelected="1" zoomScale="78" zoomScaleNormal="82" workbookViewId="0">
      <selection activeCell="U29" sqref="U29"/>
    </sheetView>
  </sheetViews>
  <sheetFormatPr defaultRowHeight="14.5" x14ac:dyDescent="0.35"/>
  <cols>
    <col min="1" max="1" width="2.54296875" customWidth="1"/>
    <col min="2" max="2" width="8.81640625" bestFit="1" customWidth="1"/>
    <col min="3" max="3" width="15.54296875" customWidth="1"/>
    <col min="4" max="4" width="18.7265625" customWidth="1"/>
    <col min="5" max="5" width="15.1796875" customWidth="1"/>
    <col min="6" max="6" width="3.81640625" customWidth="1"/>
    <col min="7" max="7" width="9.453125" customWidth="1"/>
    <col min="8" max="10" width="16.1796875" customWidth="1"/>
    <col min="11" max="11" width="8.90625" customWidth="1"/>
    <col min="12" max="12" width="11.90625" customWidth="1"/>
    <col min="13" max="13" width="10.54296875" customWidth="1"/>
    <col min="14" max="14" width="2.81640625" customWidth="1"/>
    <col min="15" max="15" width="1.08984375" customWidth="1"/>
    <col min="16" max="16" width="2.81640625" customWidth="1"/>
  </cols>
  <sheetData>
    <row r="1" spans="2:16" ht="15" thickBot="1" x14ac:dyDescent="0.4">
      <c r="O1" s="1"/>
    </row>
    <row r="2" spans="2:16" ht="17" customHeight="1" x14ac:dyDescent="0.35">
      <c r="B2" s="3"/>
      <c r="C2" s="4"/>
      <c r="D2" s="4"/>
      <c r="E2" s="4"/>
      <c r="F2" s="5"/>
      <c r="G2" s="5"/>
      <c r="H2" s="5"/>
      <c r="I2" s="5"/>
      <c r="J2" s="5"/>
      <c r="K2" s="5"/>
      <c r="L2" s="6"/>
      <c r="M2" s="7"/>
      <c r="O2" s="1"/>
    </row>
    <row r="3" spans="2:16" ht="17" customHeight="1" x14ac:dyDescent="0.35">
      <c r="B3" s="10"/>
      <c r="C3" s="11"/>
      <c r="D3" s="11"/>
      <c r="E3" s="11"/>
      <c r="F3" s="12"/>
      <c r="G3" s="12"/>
      <c r="H3" s="12"/>
      <c r="I3" s="12"/>
      <c r="J3" s="12"/>
      <c r="K3" s="12"/>
      <c r="L3" s="13"/>
      <c r="M3" s="14"/>
      <c r="O3" s="1"/>
    </row>
    <row r="4" spans="2:16" ht="17" customHeight="1" x14ac:dyDescent="0.35">
      <c r="B4" s="10"/>
      <c r="C4" s="11"/>
      <c r="D4" s="11"/>
      <c r="E4" s="11"/>
      <c r="F4" s="12"/>
      <c r="G4" s="12"/>
      <c r="H4" s="12"/>
      <c r="I4" s="12"/>
      <c r="J4" s="12"/>
      <c r="K4" s="12"/>
      <c r="L4" s="13"/>
      <c r="M4" s="14"/>
      <c r="O4" s="1"/>
    </row>
    <row r="5" spans="2:16" ht="17" customHeight="1" thickBot="1" x14ac:dyDescent="0.4">
      <c r="B5" s="18"/>
      <c r="C5" s="19"/>
      <c r="D5" s="19"/>
      <c r="E5" s="19"/>
      <c r="F5" s="20"/>
      <c r="G5" s="20"/>
      <c r="H5" s="20"/>
      <c r="I5" s="20"/>
      <c r="J5" s="20"/>
      <c r="K5" s="20"/>
      <c r="L5" s="21"/>
      <c r="M5" s="22"/>
      <c r="O5" s="1"/>
    </row>
    <row r="6" spans="2:16" ht="6" customHeight="1" x14ac:dyDescent="0.35">
      <c r="B6" s="24"/>
      <c r="C6" s="24"/>
      <c r="D6" s="24"/>
      <c r="E6" s="24"/>
      <c r="F6" s="24"/>
      <c r="G6" s="24"/>
      <c r="H6" s="24"/>
      <c r="I6" s="24"/>
      <c r="J6" s="24"/>
      <c r="K6" s="24"/>
      <c r="L6" s="25"/>
      <c r="O6" s="1"/>
    </row>
    <row r="7" spans="2:16" ht="15" customHeight="1" x14ac:dyDescent="0.35">
      <c r="B7" s="24"/>
      <c r="C7" s="24"/>
      <c r="D7" s="24"/>
      <c r="E7" s="24"/>
      <c r="F7" s="24"/>
      <c r="G7" s="24"/>
      <c r="H7" s="26"/>
      <c r="I7" s="26"/>
      <c r="J7" s="26"/>
      <c r="K7" s="254">
        <f ca="1">TODAY()</f>
        <v>46160</v>
      </c>
      <c r="L7" s="254"/>
      <c r="M7" s="254"/>
      <c r="O7" s="1"/>
    </row>
    <row r="8" spans="2:16" ht="23" customHeight="1" x14ac:dyDescent="0.35">
      <c r="B8" s="239" t="s">
        <v>12</v>
      </c>
      <c r="C8" s="240"/>
      <c r="D8" s="240"/>
      <c r="E8" s="240"/>
      <c r="F8" s="240"/>
      <c r="G8" s="240"/>
      <c r="H8" s="240"/>
      <c r="I8" s="240"/>
      <c r="J8" s="240"/>
      <c r="K8" s="240"/>
      <c r="L8" s="240"/>
      <c r="M8" s="241"/>
      <c r="O8" s="1"/>
    </row>
    <row r="9" spans="2:16" ht="7" customHeight="1" thickBot="1" x14ac:dyDescent="0.4">
      <c r="B9" s="27"/>
      <c r="C9" s="27"/>
      <c r="D9" s="27"/>
      <c r="E9" s="27"/>
      <c r="F9" s="27"/>
      <c r="G9" s="27"/>
      <c r="H9" s="27"/>
      <c r="I9" s="27"/>
      <c r="J9" s="27"/>
      <c r="K9" s="27"/>
      <c r="L9" s="27"/>
      <c r="M9" s="27"/>
      <c r="O9" s="1"/>
    </row>
    <row r="10" spans="2:16" ht="16" customHeight="1" thickBot="1" x14ac:dyDescent="0.4">
      <c r="B10" s="28" t="s">
        <v>13</v>
      </c>
      <c r="C10" s="29"/>
      <c r="D10" s="255"/>
      <c r="E10" s="256"/>
      <c r="F10" s="30"/>
      <c r="G10" s="257" t="s">
        <v>14</v>
      </c>
      <c r="H10" s="260"/>
      <c r="I10" s="261"/>
      <c r="J10" s="262"/>
      <c r="K10" s="31"/>
      <c r="L10" s="269" t="s">
        <v>15</v>
      </c>
      <c r="M10" s="270" t="s">
        <v>16</v>
      </c>
      <c r="N10" s="33"/>
      <c r="O10" s="34"/>
      <c r="P10" s="33"/>
    </row>
    <row r="11" spans="2:16" ht="16" customHeight="1" thickBot="1" x14ac:dyDescent="0.4">
      <c r="B11" s="28" t="s">
        <v>17</v>
      </c>
      <c r="C11" s="29"/>
      <c r="D11" s="271"/>
      <c r="E11" s="272"/>
      <c r="F11" s="30"/>
      <c r="G11" s="258"/>
      <c r="H11" s="263"/>
      <c r="I11" s="264"/>
      <c r="J11" s="265"/>
      <c r="K11" s="31"/>
      <c r="L11" s="269"/>
      <c r="M11" s="270"/>
      <c r="N11" s="33"/>
      <c r="O11" s="34"/>
      <c r="P11" s="33"/>
    </row>
    <row r="12" spans="2:16" ht="16" customHeight="1" thickBot="1" x14ac:dyDescent="0.4">
      <c r="B12" s="28" t="s">
        <v>18</v>
      </c>
      <c r="C12" s="29"/>
      <c r="D12" s="273"/>
      <c r="E12" s="274"/>
      <c r="F12" s="31"/>
      <c r="G12" s="259"/>
      <c r="H12" s="266"/>
      <c r="I12" s="267"/>
      <c r="J12" s="268"/>
      <c r="K12" s="31"/>
      <c r="L12" s="32" t="s">
        <v>19</v>
      </c>
      <c r="M12" s="35"/>
      <c r="N12" s="33"/>
      <c r="O12" s="34"/>
      <c r="P12" s="33"/>
    </row>
    <row r="13" spans="2:16" ht="6" customHeight="1" x14ac:dyDescent="0.35">
      <c r="B13" s="36"/>
      <c r="C13" s="36"/>
      <c r="D13" s="36"/>
      <c r="E13" s="36"/>
      <c r="F13" s="36"/>
      <c r="G13" s="36"/>
      <c r="H13" s="36"/>
      <c r="I13" s="36"/>
      <c r="J13" s="36"/>
      <c r="K13" s="36"/>
      <c r="L13" s="36"/>
      <c r="M13" s="36"/>
      <c r="O13" s="1"/>
    </row>
    <row r="14" spans="2:16" ht="23" customHeight="1" x14ac:dyDescent="0.35">
      <c r="B14" s="239" t="s">
        <v>20</v>
      </c>
      <c r="C14" s="240"/>
      <c r="D14" s="240"/>
      <c r="E14" s="240"/>
      <c r="F14" s="240"/>
      <c r="G14" s="240"/>
      <c r="H14" s="240"/>
      <c r="I14" s="240"/>
      <c r="J14" s="240"/>
      <c r="K14" s="240"/>
      <c r="L14" s="240"/>
      <c r="M14" s="241"/>
      <c r="O14" s="1"/>
    </row>
    <row r="15" spans="2:16" ht="15" hidden="1" customHeight="1" x14ac:dyDescent="0.35">
      <c r="B15" s="242" t="s">
        <v>21</v>
      </c>
      <c r="C15" s="243"/>
      <c r="D15" s="243"/>
      <c r="E15" s="243"/>
      <c r="F15" s="243"/>
      <c r="G15" s="243"/>
      <c r="H15" s="243"/>
      <c r="I15" s="243"/>
      <c r="J15" s="243"/>
      <c r="K15" s="243"/>
      <c r="L15" s="243"/>
      <c r="M15" s="244"/>
      <c r="O15" s="1"/>
    </row>
    <row r="16" spans="2:16" ht="15" hidden="1" customHeight="1" x14ac:dyDescent="0.35">
      <c r="B16" s="245" t="s">
        <v>22</v>
      </c>
      <c r="C16" s="246"/>
      <c r="D16" s="246"/>
      <c r="E16" s="247"/>
      <c r="F16" s="247"/>
      <c r="G16" s="247"/>
      <c r="H16" s="247"/>
      <c r="I16" s="247"/>
      <c r="J16" s="247"/>
      <c r="K16" s="247"/>
      <c r="L16" s="247"/>
      <c r="M16" s="248"/>
      <c r="O16" s="1"/>
    </row>
    <row r="17" spans="2:15" ht="6" customHeight="1" thickBot="1" x14ac:dyDescent="0.4">
      <c r="B17" s="31"/>
      <c r="C17" s="31"/>
      <c r="D17" s="31"/>
      <c r="E17" s="31"/>
      <c r="F17" s="31"/>
      <c r="G17" s="31"/>
      <c r="H17" s="31"/>
      <c r="I17" s="31"/>
      <c r="J17" s="31"/>
      <c r="K17" s="31"/>
      <c r="L17" s="31"/>
      <c r="M17" s="31"/>
      <c r="O17" s="1"/>
    </row>
    <row r="18" spans="2:15" ht="15" customHeight="1" thickBot="1" x14ac:dyDescent="0.4">
      <c r="B18" s="37" t="s">
        <v>23</v>
      </c>
      <c r="C18" s="38"/>
      <c r="D18" s="39" t="s">
        <v>24</v>
      </c>
      <c r="E18" s="249" t="s">
        <v>25</v>
      </c>
      <c r="F18" s="250"/>
      <c r="G18" s="250"/>
      <c r="H18" s="250"/>
      <c r="I18" s="40"/>
      <c r="J18" s="40"/>
      <c r="K18" s="38"/>
      <c r="L18" s="249" t="s">
        <v>26</v>
      </c>
      <c r="M18" s="251"/>
      <c r="O18" s="1"/>
    </row>
    <row r="19" spans="2:15" ht="6" customHeight="1" thickBot="1" x14ac:dyDescent="0.4">
      <c r="B19" s="42"/>
      <c r="C19" s="42"/>
      <c r="D19" s="42"/>
      <c r="E19" s="42"/>
      <c r="F19" s="252"/>
      <c r="G19" s="252"/>
      <c r="H19" s="252"/>
      <c r="I19" s="43"/>
      <c r="J19" s="43"/>
      <c r="K19" s="43"/>
      <c r="L19" s="253"/>
      <c r="M19" s="253"/>
      <c r="O19" s="1"/>
    </row>
    <row r="20" spans="2:15" ht="15" thickBot="1" x14ac:dyDescent="0.4">
      <c r="B20" s="45">
        <v>1</v>
      </c>
      <c r="C20" s="46" t="s">
        <v>29</v>
      </c>
      <c r="D20" s="46" t="s">
        <v>30</v>
      </c>
      <c r="E20" s="47" t="s">
        <v>31</v>
      </c>
      <c r="F20" s="199" t="s">
        <v>32</v>
      </c>
      <c r="G20" s="199"/>
      <c r="H20" s="199"/>
      <c r="I20" s="199"/>
      <c r="J20" s="199"/>
      <c r="K20" s="199"/>
      <c r="L20" s="150">
        <f>SUM(L21:M27)</f>
        <v>0</v>
      </c>
      <c r="M20" s="151"/>
      <c r="O20" s="1"/>
    </row>
    <row r="21" spans="2:15" x14ac:dyDescent="0.35">
      <c r="B21" s="51"/>
      <c r="C21" s="52"/>
      <c r="D21" s="53"/>
      <c r="E21" s="54"/>
      <c r="F21" s="238"/>
      <c r="G21" s="238"/>
      <c r="H21" s="226"/>
      <c r="I21" s="227"/>
      <c r="J21" s="227"/>
      <c r="K21" s="228"/>
      <c r="L21" s="229"/>
      <c r="M21" s="230"/>
      <c r="O21" s="1"/>
    </row>
    <row r="22" spans="2:15" x14ac:dyDescent="0.35">
      <c r="B22" s="58"/>
      <c r="C22" s="59"/>
      <c r="D22" s="60"/>
      <c r="E22" s="61"/>
      <c r="F22" s="236"/>
      <c r="G22" s="236"/>
      <c r="H22" s="210"/>
      <c r="I22" s="211"/>
      <c r="J22" s="211"/>
      <c r="K22" s="212"/>
      <c r="L22" s="213"/>
      <c r="M22" s="214"/>
      <c r="O22" s="1"/>
    </row>
    <row r="23" spans="2:15" x14ac:dyDescent="0.35">
      <c r="B23" s="58"/>
      <c r="C23" s="59"/>
      <c r="D23" s="60"/>
      <c r="E23" s="65"/>
      <c r="F23" s="237"/>
      <c r="G23" s="237"/>
      <c r="H23" s="235"/>
      <c r="I23" s="211"/>
      <c r="J23" s="211"/>
      <c r="K23" s="212"/>
      <c r="L23" s="213"/>
      <c r="M23" s="214"/>
      <c r="O23" s="1"/>
    </row>
    <row r="24" spans="2:15" x14ac:dyDescent="0.35">
      <c r="B24" s="58"/>
      <c r="C24" s="59"/>
      <c r="D24" s="62"/>
      <c r="E24" s="66"/>
      <c r="F24" s="234"/>
      <c r="G24" s="234"/>
      <c r="H24" s="235"/>
      <c r="I24" s="211"/>
      <c r="J24" s="211"/>
      <c r="K24" s="212"/>
      <c r="L24" s="213"/>
      <c r="M24" s="214"/>
      <c r="O24" s="1"/>
    </row>
    <row r="25" spans="2:15" x14ac:dyDescent="0.35">
      <c r="B25" s="58"/>
      <c r="C25" s="59"/>
      <c r="D25" s="60"/>
      <c r="E25" s="60"/>
      <c r="F25" s="234"/>
      <c r="G25" s="234"/>
      <c r="H25" s="235"/>
      <c r="I25" s="211"/>
      <c r="J25" s="211"/>
      <c r="K25" s="212"/>
      <c r="L25" s="213"/>
      <c r="M25" s="214"/>
      <c r="O25" s="1"/>
    </row>
    <row r="26" spans="2:15" x14ac:dyDescent="0.35">
      <c r="B26" s="58"/>
      <c r="C26" s="59"/>
      <c r="D26" s="60"/>
      <c r="E26" s="60"/>
      <c r="F26" s="231"/>
      <c r="G26" s="231"/>
      <c r="H26" s="211"/>
      <c r="I26" s="211"/>
      <c r="J26" s="211"/>
      <c r="K26" s="212"/>
      <c r="L26" s="213"/>
      <c r="M26" s="214"/>
      <c r="O26" s="1"/>
    </row>
    <row r="27" spans="2:15" ht="15" thickBot="1" x14ac:dyDescent="0.4">
      <c r="B27" s="67"/>
      <c r="C27" s="68"/>
      <c r="D27" s="69"/>
      <c r="E27" s="70"/>
      <c r="F27" s="232"/>
      <c r="G27" s="233"/>
      <c r="H27" s="218"/>
      <c r="I27" s="219"/>
      <c r="J27" s="219"/>
      <c r="K27" s="220"/>
      <c r="L27" s="221"/>
      <c r="M27" s="222"/>
      <c r="O27" s="1"/>
    </row>
    <row r="28" spans="2:15" ht="6" customHeight="1" thickBot="1" x14ac:dyDescent="0.4">
      <c r="B28" s="73"/>
      <c r="C28" s="73"/>
      <c r="D28" s="74"/>
      <c r="E28" s="74"/>
      <c r="F28" s="75"/>
      <c r="G28" s="75"/>
      <c r="H28" s="76"/>
      <c r="I28" s="76"/>
      <c r="J28" s="76"/>
      <c r="K28" s="76"/>
      <c r="L28" s="77"/>
      <c r="M28" s="77"/>
      <c r="O28" s="1"/>
    </row>
    <row r="29" spans="2:15" ht="15" thickBot="1" x14ac:dyDescent="0.4">
      <c r="B29" s="45">
        <v>2</v>
      </c>
      <c r="C29" s="79" t="s">
        <v>29</v>
      </c>
      <c r="D29" s="46" t="s">
        <v>50</v>
      </c>
      <c r="E29" s="148" t="s">
        <v>31</v>
      </c>
      <c r="F29" s="148"/>
      <c r="G29" s="148"/>
      <c r="H29" s="149"/>
      <c r="I29" s="149"/>
      <c r="J29" s="149"/>
      <c r="K29" s="149"/>
      <c r="L29" s="150">
        <f>SUM(L30:M38)</f>
        <v>0</v>
      </c>
      <c r="M29" s="151"/>
      <c r="O29" s="1"/>
    </row>
    <row r="30" spans="2:15" x14ac:dyDescent="0.35">
      <c r="B30" s="80"/>
      <c r="C30" s="81"/>
      <c r="D30" s="55"/>
      <c r="E30" s="223"/>
      <c r="F30" s="224"/>
      <c r="G30" s="225"/>
      <c r="H30" s="226"/>
      <c r="I30" s="227"/>
      <c r="J30" s="227"/>
      <c r="K30" s="228"/>
      <c r="L30" s="229"/>
      <c r="M30" s="230"/>
      <c r="O30" s="1"/>
    </row>
    <row r="31" spans="2:15" x14ac:dyDescent="0.35">
      <c r="B31" s="58"/>
      <c r="C31" s="82"/>
      <c r="D31" s="60"/>
      <c r="E31" s="207"/>
      <c r="F31" s="208"/>
      <c r="G31" s="209"/>
      <c r="H31" s="210"/>
      <c r="I31" s="211"/>
      <c r="J31" s="211"/>
      <c r="K31" s="212"/>
      <c r="L31" s="213"/>
      <c r="M31" s="214"/>
      <c r="O31" s="1"/>
    </row>
    <row r="32" spans="2:15" x14ac:dyDescent="0.35">
      <c r="B32" s="58"/>
      <c r="C32" s="82"/>
      <c r="D32" s="60"/>
      <c r="E32" s="207"/>
      <c r="F32" s="208"/>
      <c r="G32" s="209"/>
      <c r="H32" s="210"/>
      <c r="I32" s="211"/>
      <c r="J32" s="211"/>
      <c r="K32" s="212"/>
      <c r="L32" s="213"/>
      <c r="M32" s="214"/>
      <c r="O32" s="1"/>
    </row>
    <row r="33" spans="2:15" x14ac:dyDescent="0.35">
      <c r="B33" s="58"/>
      <c r="C33" s="82"/>
      <c r="D33" s="60"/>
      <c r="E33" s="207"/>
      <c r="F33" s="208"/>
      <c r="G33" s="209"/>
      <c r="H33" s="210"/>
      <c r="I33" s="211"/>
      <c r="J33" s="211"/>
      <c r="K33" s="212"/>
      <c r="L33" s="213"/>
      <c r="M33" s="214"/>
      <c r="O33" s="1"/>
    </row>
    <row r="34" spans="2:15" x14ac:dyDescent="0.35">
      <c r="B34" s="58"/>
      <c r="C34" s="82"/>
      <c r="D34" s="60"/>
      <c r="E34" s="207"/>
      <c r="F34" s="208"/>
      <c r="G34" s="209"/>
      <c r="H34" s="210"/>
      <c r="I34" s="211"/>
      <c r="J34" s="211"/>
      <c r="K34" s="212"/>
      <c r="L34" s="213"/>
      <c r="M34" s="214"/>
      <c r="O34" s="1"/>
    </row>
    <row r="35" spans="2:15" x14ac:dyDescent="0.35">
      <c r="B35" s="58"/>
      <c r="C35" s="82"/>
      <c r="D35" s="60"/>
      <c r="E35" s="207"/>
      <c r="F35" s="208"/>
      <c r="G35" s="209"/>
      <c r="H35" s="210"/>
      <c r="I35" s="211"/>
      <c r="J35" s="211"/>
      <c r="K35" s="212"/>
      <c r="L35" s="213"/>
      <c r="M35" s="214"/>
      <c r="O35" s="1"/>
    </row>
    <row r="36" spans="2:15" x14ac:dyDescent="0.35">
      <c r="B36" s="83"/>
      <c r="C36" s="84"/>
      <c r="D36" s="62"/>
      <c r="E36" s="207"/>
      <c r="F36" s="208"/>
      <c r="G36" s="209"/>
      <c r="H36" s="210"/>
      <c r="I36" s="211"/>
      <c r="J36" s="211"/>
      <c r="K36" s="212"/>
      <c r="L36" s="213"/>
      <c r="M36" s="214"/>
      <c r="O36" s="1"/>
    </row>
    <row r="37" spans="2:15" x14ac:dyDescent="0.35">
      <c r="B37" s="58"/>
      <c r="C37" s="84"/>
      <c r="D37" s="62"/>
      <c r="E37" s="207"/>
      <c r="F37" s="208"/>
      <c r="G37" s="209"/>
      <c r="H37" s="210"/>
      <c r="I37" s="211"/>
      <c r="J37" s="211"/>
      <c r="K37" s="212"/>
      <c r="L37" s="213"/>
      <c r="M37" s="214"/>
      <c r="O37" s="1"/>
    </row>
    <row r="38" spans="2:15" ht="15" thickBot="1" x14ac:dyDescent="0.4">
      <c r="B38" s="67"/>
      <c r="C38" s="85"/>
      <c r="D38" s="69"/>
      <c r="E38" s="215"/>
      <c r="F38" s="216"/>
      <c r="G38" s="217"/>
      <c r="H38" s="218"/>
      <c r="I38" s="219"/>
      <c r="J38" s="219"/>
      <c r="K38" s="220"/>
      <c r="L38" s="221"/>
      <c r="M38" s="222"/>
      <c r="O38" s="1"/>
    </row>
    <row r="39" spans="2:15" ht="6" customHeight="1" thickBot="1" x14ac:dyDescent="0.4">
      <c r="B39" s="73"/>
      <c r="C39" s="73"/>
      <c r="D39" s="74"/>
      <c r="E39" s="74"/>
      <c r="F39" s="74"/>
      <c r="G39" s="74"/>
      <c r="H39" s="86"/>
      <c r="I39" s="86"/>
      <c r="J39" s="86"/>
      <c r="K39" s="86"/>
      <c r="L39" s="77"/>
      <c r="M39" s="77"/>
      <c r="O39" s="1"/>
    </row>
    <row r="40" spans="2:15" ht="15" thickBot="1" x14ac:dyDescent="0.4">
      <c r="B40" s="45">
        <v>3</v>
      </c>
      <c r="C40" s="79" t="s">
        <v>29</v>
      </c>
      <c r="D40" s="46" t="s">
        <v>79</v>
      </c>
      <c r="E40" s="47"/>
      <c r="F40" s="148"/>
      <c r="G40" s="148"/>
      <c r="H40" s="148"/>
      <c r="I40" s="148"/>
      <c r="J40" s="148"/>
      <c r="K40" s="47" t="s">
        <v>80</v>
      </c>
      <c r="L40" s="150">
        <f>SUM(L41:M54)</f>
        <v>0</v>
      </c>
      <c r="M40" s="151"/>
      <c r="O40" s="1"/>
    </row>
    <row r="41" spans="2:15" x14ac:dyDescent="0.35">
      <c r="B41" s="87"/>
      <c r="C41" s="88"/>
      <c r="D41" s="55"/>
      <c r="E41" s="55"/>
      <c r="F41" s="202"/>
      <c r="G41" s="203"/>
      <c r="H41" s="203"/>
      <c r="I41" s="203"/>
      <c r="J41" s="204"/>
      <c r="K41" s="89"/>
      <c r="L41" s="205"/>
      <c r="M41" s="206"/>
      <c r="O41" s="1"/>
    </row>
    <row r="42" spans="2:15" x14ac:dyDescent="0.35">
      <c r="B42" s="90"/>
      <c r="C42" s="91"/>
      <c r="D42" s="60"/>
      <c r="E42" s="60"/>
      <c r="F42" s="171"/>
      <c r="G42" s="172"/>
      <c r="H42" s="172"/>
      <c r="I42" s="172"/>
      <c r="J42" s="173"/>
      <c r="K42" s="95"/>
      <c r="L42" s="192"/>
      <c r="M42" s="193"/>
      <c r="O42" s="1"/>
    </row>
    <row r="43" spans="2:15" x14ac:dyDescent="0.35">
      <c r="B43" s="90"/>
      <c r="C43" s="88"/>
      <c r="D43" s="55"/>
      <c r="E43" s="55"/>
      <c r="F43" s="171"/>
      <c r="G43" s="172"/>
      <c r="H43" s="172"/>
      <c r="I43" s="172"/>
      <c r="J43" s="173"/>
      <c r="K43" s="95"/>
      <c r="L43" s="192"/>
      <c r="M43" s="193"/>
      <c r="O43" s="1"/>
    </row>
    <row r="44" spans="2:15" x14ac:dyDescent="0.35">
      <c r="B44" s="90"/>
      <c r="C44" s="91"/>
      <c r="D44" s="60"/>
      <c r="E44" s="60"/>
      <c r="F44" s="171"/>
      <c r="G44" s="172"/>
      <c r="H44" s="172"/>
      <c r="I44" s="172"/>
      <c r="J44" s="173"/>
      <c r="K44" s="95"/>
      <c r="L44" s="192"/>
      <c r="M44" s="193"/>
      <c r="O44" s="1"/>
    </row>
    <row r="45" spans="2:15" x14ac:dyDescent="0.35">
      <c r="B45" s="90"/>
      <c r="C45" s="88"/>
      <c r="D45" s="55"/>
      <c r="E45" s="55"/>
      <c r="F45" s="171"/>
      <c r="G45" s="172"/>
      <c r="H45" s="172"/>
      <c r="I45" s="172"/>
      <c r="J45" s="173"/>
      <c r="K45" s="95"/>
      <c r="L45" s="192"/>
      <c r="M45" s="193"/>
      <c r="O45" s="1"/>
    </row>
    <row r="46" spans="2:15" x14ac:dyDescent="0.35">
      <c r="B46" s="90"/>
      <c r="C46" s="91"/>
      <c r="D46" s="60"/>
      <c r="E46" s="60"/>
      <c r="F46" s="171"/>
      <c r="G46" s="172"/>
      <c r="H46" s="172"/>
      <c r="I46" s="172"/>
      <c r="J46" s="173"/>
      <c r="K46" s="95"/>
      <c r="L46" s="192"/>
      <c r="M46" s="193"/>
      <c r="O46" s="1"/>
    </row>
    <row r="47" spans="2:15" x14ac:dyDescent="0.35">
      <c r="B47" s="90"/>
      <c r="C47" s="88"/>
      <c r="D47" s="55"/>
      <c r="E47" s="55"/>
      <c r="F47" s="171"/>
      <c r="G47" s="172"/>
      <c r="H47" s="172"/>
      <c r="I47" s="172"/>
      <c r="J47" s="173"/>
      <c r="K47" s="95"/>
      <c r="L47" s="192"/>
      <c r="M47" s="193"/>
      <c r="O47" s="1"/>
    </row>
    <row r="48" spans="2:15" x14ac:dyDescent="0.35">
      <c r="B48" s="90"/>
      <c r="C48" s="91"/>
      <c r="D48" s="60"/>
      <c r="E48" s="60"/>
      <c r="F48" s="171"/>
      <c r="G48" s="172"/>
      <c r="H48" s="172"/>
      <c r="I48" s="172"/>
      <c r="J48" s="173"/>
      <c r="K48" s="95"/>
      <c r="L48" s="192"/>
      <c r="M48" s="193"/>
      <c r="O48" s="1"/>
    </row>
    <row r="49" spans="2:15" x14ac:dyDescent="0.35">
      <c r="B49" s="90"/>
      <c r="C49" s="91"/>
      <c r="D49" s="60"/>
      <c r="E49" s="60"/>
      <c r="F49" s="171"/>
      <c r="G49" s="172"/>
      <c r="H49" s="172"/>
      <c r="I49" s="172"/>
      <c r="J49" s="173"/>
      <c r="K49" s="96"/>
      <c r="L49" s="200"/>
      <c r="M49" s="201"/>
      <c r="O49" s="1"/>
    </row>
    <row r="50" spans="2:15" x14ac:dyDescent="0.35">
      <c r="B50" s="90"/>
      <c r="C50" s="88"/>
      <c r="D50" s="55"/>
      <c r="E50" s="55"/>
      <c r="F50" s="171"/>
      <c r="G50" s="172"/>
      <c r="H50" s="172"/>
      <c r="I50" s="172"/>
      <c r="J50" s="173"/>
      <c r="K50" s="95"/>
      <c r="L50" s="192"/>
      <c r="M50" s="193"/>
      <c r="O50" s="1"/>
    </row>
    <row r="51" spans="2:15" x14ac:dyDescent="0.35">
      <c r="B51" s="90"/>
      <c r="C51" s="88"/>
      <c r="D51" s="55"/>
      <c r="E51" s="55"/>
      <c r="F51" s="171"/>
      <c r="G51" s="172"/>
      <c r="H51" s="172"/>
      <c r="I51" s="172"/>
      <c r="J51" s="173"/>
      <c r="K51" s="95"/>
      <c r="L51" s="192"/>
      <c r="M51" s="193"/>
      <c r="O51" s="1"/>
    </row>
    <row r="52" spans="2:15" x14ac:dyDescent="0.35">
      <c r="B52" s="90"/>
      <c r="C52" s="91"/>
      <c r="D52" s="60"/>
      <c r="E52" s="60"/>
      <c r="F52" s="92"/>
      <c r="G52" s="93"/>
      <c r="H52" s="93"/>
      <c r="I52" s="93"/>
      <c r="J52" s="94"/>
      <c r="K52" s="96"/>
      <c r="L52" s="192"/>
      <c r="M52" s="193"/>
      <c r="O52" s="1"/>
    </row>
    <row r="53" spans="2:15" x14ac:dyDescent="0.35">
      <c r="B53" s="90"/>
      <c r="C53" s="91"/>
      <c r="D53" s="60"/>
      <c r="E53" s="60"/>
      <c r="F53" s="92"/>
      <c r="G53" s="93"/>
      <c r="H53" s="93"/>
      <c r="I53" s="93"/>
      <c r="J53" s="94"/>
      <c r="K53" s="96"/>
      <c r="L53" s="192"/>
      <c r="M53" s="193"/>
      <c r="O53" s="1"/>
    </row>
    <row r="54" spans="2:15" ht="15" thickBot="1" x14ac:dyDescent="0.4">
      <c r="B54" s="97"/>
      <c r="C54" s="98"/>
      <c r="D54" s="99"/>
      <c r="E54" s="99"/>
      <c r="F54" s="194"/>
      <c r="G54" s="195"/>
      <c r="H54" s="195"/>
      <c r="I54" s="195"/>
      <c r="J54" s="196"/>
      <c r="K54" s="100"/>
      <c r="L54" s="197"/>
      <c r="M54" s="198"/>
      <c r="O54" s="1"/>
    </row>
    <row r="55" spans="2:15" ht="6" customHeight="1" thickBot="1" x14ac:dyDescent="0.4">
      <c r="B55" s="101"/>
      <c r="C55" s="101"/>
      <c r="D55" s="74"/>
      <c r="E55" s="74"/>
      <c r="F55" s="102"/>
      <c r="G55" s="102"/>
      <c r="H55" s="102"/>
      <c r="I55" s="102"/>
      <c r="J55" s="102"/>
      <c r="K55" s="102"/>
      <c r="O55" s="1"/>
    </row>
    <row r="56" spans="2:15" ht="15" thickBot="1" x14ac:dyDescent="0.4">
      <c r="B56" s="45">
        <v>4</v>
      </c>
      <c r="C56" s="79" t="s">
        <v>29</v>
      </c>
      <c r="D56" s="46" t="s">
        <v>116</v>
      </c>
      <c r="E56" s="148" t="s">
        <v>117</v>
      </c>
      <c r="F56" s="148"/>
      <c r="G56" s="148"/>
      <c r="H56" s="199"/>
      <c r="I56" s="199"/>
      <c r="J56" s="199"/>
      <c r="K56" s="199"/>
      <c r="L56" s="150">
        <f>SUM(L57:M61)</f>
        <v>0</v>
      </c>
      <c r="M56" s="151"/>
      <c r="O56" s="1"/>
    </row>
    <row r="57" spans="2:15" x14ac:dyDescent="0.35">
      <c r="B57" s="87"/>
      <c r="C57" s="88"/>
      <c r="D57" s="103"/>
      <c r="E57" s="188"/>
      <c r="F57" s="188"/>
      <c r="G57" s="188"/>
      <c r="H57" s="189"/>
      <c r="I57" s="189"/>
      <c r="J57" s="189"/>
      <c r="K57" s="189"/>
      <c r="L57" s="190"/>
      <c r="M57" s="191"/>
      <c r="O57" s="1"/>
    </row>
    <row r="58" spans="2:15" x14ac:dyDescent="0.35">
      <c r="B58" s="90"/>
      <c r="C58" s="91"/>
      <c r="D58" s="104"/>
      <c r="E58" s="152"/>
      <c r="F58" s="152"/>
      <c r="G58" s="152"/>
      <c r="H58" s="153"/>
      <c r="I58" s="153"/>
      <c r="J58" s="153"/>
      <c r="K58" s="153"/>
      <c r="L58" s="186"/>
      <c r="M58" s="187"/>
      <c r="O58" s="1"/>
    </row>
    <row r="59" spans="2:15" x14ac:dyDescent="0.35">
      <c r="B59" s="90"/>
      <c r="C59" s="91"/>
      <c r="D59" s="104"/>
      <c r="E59" s="152"/>
      <c r="F59" s="152"/>
      <c r="G59" s="152"/>
      <c r="H59" s="153"/>
      <c r="I59" s="153"/>
      <c r="J59" s="153"/>
      <c r="K59" s="153"/>
      <c r="L59" s="186"/>
      <c r="M59" s="187"/>
      <c r="O59" s="1"/>
    </row>
    <row r="60" spans="2:15" x14ac:dyDescent="0.35">
      <c r="B60" s="90"/>
      <c r="C60" s="91"/>
      <c r="D60" s="104"/>
      <c r="E60" s="152"/>
      <c r="F60" s="152"/>
      <c r="G60" s="152"/>
      <c r="H60" s="153"/>
      <c r="I60" s="153"/>
      <c r="J60" s="153"/>
      <c r="K60" s="153"/>
      <c r="L60" s="186"/>
      <c r="M60" s="187"/>
      <c r="O60" s="1"/>
    </row>
    <row r="61" spans="2:15" ht="15" thickBot="1" x14ac:dyDescent="0.4">
      <c r="B61" s="97"/>
      <c r="C61" s="105"/>
      <c r="D61" s="106"/>
      <c r="E61" s="147"/>
      <c r="F61" s="147"/>
      <c r="G61" s="147"/>
      <c r="H61" s="140"/>
      <c r="I61" s="140"/>
      <c r="J61" s="140"/>
      <c r="K61" s="140"/>
      <c r="L61" s="184"/>
      <c r="M61" s="185"/>
      <c r="O61" s="1"/>
    </row>
    <row r="62" spans="2:15" ht="6" customHeight="1" thickBot="1" x14ac:dyDescent="0.4">
      <c r="D62" s="102"/>
      <c r="E62" s="102"/>
      <c r="F62" s="102"/>
      <c r="G62" s="102"/>
      <c r="H62" s="107"/>
      <c r="I62" s="107"/>
      <c r="J62" s="107"/>
      <c r="K62" s="107"/>
      <c r="O62" s="1"/>
    </row>
    <row r="63" spans="2:15" ht="15" thickBot="1" x14ac:dyDescent="0.4">
      <c r="B63" s="45">
        <v>5</v>
      </c>
      <c r="C63" s="79" t="s">
        <v>29</v>
      </c>
      <c r="D63" s="46" t="s">
        <v>129</v>
      </c>
      <c r="E63" s="148" t="s">
        <v>117</v>
      </c>
      <c r="F63" s="148"/>
      <c r="G63" s="148"/>
      <c r="H63" s="149"/>
      <c r="I63" s="149"/>
      <c r="J63" s="149"/>
      <c r="K63" s="149"/>
      <c r="L63" s="150">
        <f>SUM(L64:M76)</f>
        <v>0</v>
      </c>
      <c r="M63" s="151"/>
      <c r="O63" s="1"/>
    </row>
    <row r="64" spans="2:15" x14ac:dyDescent="0.35">
      <c r="B64" s="87"/>
      <c r="C64" s="88"/>
      <c r="D64" s="108"/>
      <c r="E64" s="176"/>
      <c r="F64" s="177"/>
      <c r="G64" s="178"/>
      <c r="H64" s="179"/>
      <c r="I64" s="180"/>
      <c r="J64" s="180"/>
      <c r="K64" s="181"/>
      <c r="L64" s="182"/>
      <c r="M64" s="183"/>
      <c r="O64" s="1"/>
    </row>
    <row r="65" spans="2:15" x14ac:dyDescent="0.35">
      <c r="B65" s="90"/>
      <c r="C65" s="91"/>
      <c r="D65" s="104"/>
      <c r="E65" s="168"/>
      <c r="F65" s="169"/>
      <c r="G65" s="170"/>
      <c r="H65" s="171"/>
      <c r="I65" s="172"/>
      <c r="J65" s="172"/>
      <c r="K65" s="173"/>
      <c r="L65" s="174"/>
      <c r="M65" s="175"/>
      <c r="O65" s="1"/>
    </row>
    <row r="66" spans="2:15" x14ac:dyDescent="0.35">
      <c r="B66" s="90"/>
      <c r="C66" s="91"/>
      <c r="D66" s="104"/>
      <c r="E66" s="168"/>
      <c r="F66" s="169"/>
      <c r="G66" s="170"/>
      <c r="H66" s="171"/>
      <c r="I66" s="172"/>
      <c r="J66" s="172"/>
      <c r="K66" s="173"/>
      <c r="L66" s="174"/>
      <c r="M66" s="175"/>
      <c r="O66" s="1"/>
    </row>
    <row r="67" spans="2:15" x14ac:dyDescent="0.35">
      <c r="B67" s="90"/>
      <c r="C67" s="91"/>
      <c r="D67" s="104"/>
      <c r="E67" s="168"/>
      <c r="F67" s="169"/>
      <c r="G67" s="170"/>
      <c r="H67" s="171"/>
      <c r="I67" s="172"/>
      <c r="J67" s="172"/>
      <c r="K67" s="173"/>
      <c r="L67" s="174"/>
      <c r="M67" s="175"/>
      <c r="O67" s="1"/>
    </row>
    <row r="68" spans="2:15" x14ac:dyDescent="0.35">
      <c r="B68" s="90"/>
      <c r="C68" s="91"/>
      <c r="D68" s="104"/>
      <c r="E68" s="168"/>
      <c r="F68" s="169"/>
      <c r="G68" s="170"/>
      <c r="H68" s="171"/>
      <c r="I68" s="172"/>
      <c r="J68" s="172"/>
      <c r="K68" s="173"/>
      <c r="L68" s="174"/>
      <c r="M68" s="175"/>
      <c r="O68" s="1"/>
    </row>
    <row r="69" spans="2:15" x14ac:dyDescent="0.35">
      <c r="B69" s="90"/>
      <c r="C69" s="91"/>
      <c r="D69" s="104"/>
      <c r="E69" s="168"/>
      <c r="F69" s="169"/>
      <c r="G69" s="170"/>
      <c r="H69" s="171"/>
      <c r="I69" s="172"/>
      <c r="J69" s="172"/>
      <c r="K69" s="173"/>
      <c r="L69" s="174"/>
      <c r="M69" s="175"/>
      <c r="O69" s="1"/>
    </row>
    <row r="70" spans="2:15" x14ac:dyDescent="0.35">
      <c r="B70" s="90"/>
      <c r="C70" s="91"/>
      <c r="D70" s="104"/>
      <c r="E70" s="168"/>
      <c r="F70" s="169"/>
      <c r="G70" s="170"/>
      <c r="H70" s="171"/>
      <c r="I70" s="172"/>
      <c r="J70" s="172"/>
      <c r="K70" s="173"/>
      <c r="L70" s="174"/>
      <c r="M70" s="175"/>
      <c r="O70" s="1"/>
    </row>
    <row r="71" spans="2:15" x14ac:dyDescent="0.35">
      <c r="B71" s="90"/>
      <c r="C71" s="91"/>
      <c r="D71" s="104"/>
      <c r="E71" s="168"/>
      <c r="F71" s="169"/>
      <c r="G71" s="170"/>
      <c r="H71" s="171"/>
      <c r="I71" s="172"/>
      <c r="J71" s="172"/>
      <c r="K71" s="173"/>
      <c r="L71" s="174"/>
      <c r="M71" s="175"/>
      <c r="O71" s="1"/>
    </row>
    <row r="72" spans="2:15" x14ac:dyDescent="0.35">
      <c r="B72" s="90"/>
      <c r="C72" s="91"/>
      <c r="D72" s="104"/>
      <c r="E72" s="168"/>
      <c r="F72" s="169"/>
      <c r="G72" s="170"/>
      <c r="H72" s="171"/>
      <c r="I72" s="172"/>
      <c r="J72" s="172"/>
      <c r="K72" s="173"/>
      <c r="L72" s="174"/>
      <c r="M72" s="175"/>
      <c r="O72" s="1"/>
    </row>
    <row r="73" spans="2:15" x14ac:dyDescent="0.35">
      <c r="B73" s="90"/>
      <c r="C73" s="91"/>
      <c r="D73" s="104"/>
      <c r="E73" s="168"/>
      <c r="F73" s="169"/>
      <c r="G73" s="170"/>
      <c r="H73" s="171"/>
      <c r="I73" s="172"/>
      <c r="J73" s="172"/>
      <c r="K73" s="173"/>
      <c r="L73" s="174"/>
      <c r="M73" s="175"/>
      <c r="O73" s="1"/>
    </row>
    <row r="74" spans="2:15" x14ac:dyDescent="0.35">
      <c r="B74" s="90"/>
      <c r="C74" s="91"/>
      <c r="D74" s="104"/>
      <c r="E74" s="168"/>
      <c r="F74" s="169"/>
      <c r="G74" s="170"/>
      <c r="H74" s="171"/>
      <c r="I74" s="172"/>
      <c r="J74" s="172"/>
      <c r="K74" s="173"/>
      <c r="L74" s="174"/>
      <c r="M74" s="175"/>
      <c r="O74" s="1"/>
    </row>
    <row r="75" spans="2:15" x14ac:dyDescent="0.35">
      <c r="B75" s="90"/>
      <c r="C75" s="91"/>
      <c r="D75" s="104"/>
      <c r="E75" s="168"/>
      <c r="F75" s="169"/>
      <c r="G75" s="170"/>
      <c r="H75" s="171"/>
      <c r="I75" s="172"/>
      <c r="J75" s="172"/>
      <c r="K75" s="173"/>
      <c r="L75" s="174"/>
      <c r="M75" s="175"/>
      <c r="O75" s="1"/>
    </row>
    <row r="76" spans="2:15" ht="15" thickBot="1" x14ac:dyDescent="0.4">
      <c r="B76" s="97"/>
      <c r="C76" s="105"/>
      <c r="D76" s="106"/>
      <c r="E76" s="160"/>
      <c r="F76" s="161"/>
      <c r="G76" s="162"/>
      <c r="H76" s="163"/>
      <c r="I76" s="164"/>
      <c r="J76" s="164"/>
      <c r="K76" s="165"/>
      <c r="L76" s="166"/>
      <c r="M76" s="167"/>
      <c r="O76" s="1"/>
    </row>
    <row r="77" spans="2:15" ht="6" customHeight="1" thickBot="1" x14ac:dyDescent="0.4">
      <c r="F77" s="102"/>
      <c r="G77" s="102"/>
      <c r="H77" s="107"/>
      <c r="I77" s="107"/>
      <c r="J77" s="107"/>
      <c r="K77" s="107"/>
      <c r="O77" s="1"/>
    </row>
    <row r="78" spans="2:15" ht="15" thickBot="1" x14ac:dyDescent="0.4">
      <c r="B78" s="45">
        <v>6</v>
      </c>
      <c r="C78" s="79" t="s">
        <v>29</v>
      </c>
      <c r="D78" s="46" t="s">
        <v>160</v>
      </c>
      <c r="E78" s="148" t="s">
        <v>117</v>
      </c>
      <c r="F78" s="148"/>
      <c r="G78" s="148"/>
      <c r="H78" s="149"/>
      <c r="I78" s="149"/>
      <c r="J78" s="149"/>
      <c r="K78" s="149"/>
      <c r="L78" s="150">
        <f>SUM(L79:M87)</f>
        <v>0</v>
      </c>
      <c r="M78" s="151"/>
      <c r="O78" s="1"/>
    </row>
    <row r="79" spans="2:15" x14ac:dyDescent="0.35">
      <c r="B79" s="87"/>
      <c r="C79" s="88"/>
      <c r="D79" s="108"/>
      <c r="E79" s="156"/>
      <c r="F79" s="156"/>
      <c r="G79" s="156"/>
      <c r="H79" s="157"/>
      <c r="I79" s="157"/>
      <c r="J79" s="157"/>
      <c r="K79" s="157"/>
      <c r="L79" s="158"/>
      <c r="M79" s="159"/>
      <c r="O79" s="1"/>
    </row>
    <row r="80" spans="2:15" x14ac:dyDescent="0.35">
      <c r="B80" s="90"/>
      <c r="C80" s="91"/>
      <c r="D80" s="104"/>
      <c r="E80" s="152"/>
      <c r="F80" s="152"/>
      <c r="G80" s="152"/>
      <c r="H80" s="153"/>
      <c r="I80" s="153"/>
      <c r="J80" s="153"/>
      <c r="K80" s="153"/>
      <c r="L80" s="154"/>
      <c r="M80" s="155"/>
      <c r="O80" s="1"/>
    </row>
    <row r="81" spans="2:15" x14ac:dyDescent="0.35">
      <c r="B81" s="90"/>
      <c r="C81" s="91"/>
      <c r="D81" s="104"/>
      <c r="E81" s="152"/>
      <c r="F81" s="152"/>
      <c r="G81" s="152"/>
      <c r="H81" s="153"/>
      <c r="I81" s="153"/>
      <c r="J81" s="153"/>
      <c r="K81" s="153"/>
      <c r="L81" s="154"/>
      <c r="M81" s="155"/>
      <c r="O81" s="1"/>
    </row>
    <row r="82" spans="2:15" x14ac:dyDescent="0.35">
      <c r="B82" s="90"/>
      <c r="C82" s="91"/>
      <c r="D82" s="104"/>
      <c r="E82" s="152"/>
      <c r="F82" s="152"/>
      <c r="G82" s="152"/>
      <c r="H82" s="153"/>
      <c r="I82" s="153"/>
      <c r="J82" s="153"/>
      <c r="K82" s="153"/>
      <c r="L82" s="154"/>
      <c r="M82" s="155"/>
      <c r="O82" s="1"/>
    </row>
    <row r="83" spans="2:15" x14ac:dyDescent="0.35">
      <c r="B83" s="90"/>
      <c r="C83" s="91"/>
      <c r="D83" s="104"/>
      <c r="E83" s="152"/>
      <c r="F83" s="152"/>
      <c r="G83" s="152"/>
      <c r="H83" s="153"/>
      <c r="I83" s="153"/>
      <c r="J83" s="153"/>
      <c r="K83" s="153"/>
      <c r="L83" s="154"/>
      <c r="M83" s="155"/>
      <c r="O83" s="1"/>
    </row>
    <row r="84" spans="2:15" x14ac:dyDescent="0.35">
      <c r="B84" s="90"/>
      <c r="C84" s="91"/>
      <c r="D84" s="104"/>
      <c r="E84" s="152"/>
      <c r="F84" s="152"/>
      <c r="G84" s="152"/>
      <c r="H84" s="153"/>
      <c r="I84" s="153"/>
      <c r="J84" s="153"/>
      <c r="K84" s="153"/>
      <c r="L84" s="154"/>
      <c r="M84" s="155"/>
      <c r="O84" s="1"/>
    </row>
    <row r="85" spans="2:15" x14ac:dyDescent="0.35">
      <c r="B85" s="90"/>
      <c r="C85" s="91"/>
      <c r="D85" s="104"/>
      <c r="E85" s="152"/>
      <c r="F85" s="152"/>
      <c r="G85" s="152"/>
      <c r="H85" s="153"/>
      <c r="I85" s="153"/>
      <c r="J85" s="153"/>
      <c r="K85" s="153"/>
      <c r="L85" s="154"/>
      <c r="M85" s="155"/>
      <c r="O85" s="1"/>
    </row>
    <row r="86" spans="2:15" x14ac:dyDescent="0.35">
      <c r="B86" s="90"/>
      <c r="C86" s="91"/>
      <c r="D86" s="104"/>
      <c r="E86" s="152"/>
      <c r="F86" s="152"/>
      <c r="G86" s="152"/>
      <c r="H86" s="153"/>
      <c r="I86" s="153"/>
      <c r="J86" s="153"/>
      <c r="K86" s="153"/>
      <c r="L86" s="154"/>
      <c r="M86" s="155"/>
      <c r="O86" s="1"/>
    </row>
    <row r="87" spans="2:15" ht="15" thickBot="1" x14ac:dyDescent="0.4">
      <c r="B87" s="97"/>
      <c r="C87" s="105"/>
      <c r="D87" s="106"/>
      <c r="E87" s="147"/>
      <c r="F87" s="147"/>
      <c r="G87" s="147"/>
      <c r="H87" s="140"/>
      <c r="I87" s="140"/>
      <c r="J87" s="140"/>
      <c r="K87" s="140"/>
      <c r="L87" s="141"/>
      <c r="M87" s="142"/>
      <c r="O87" s="1"/>
    </row>
    <row r="88" spans="2:15" ht="6" customHeight="1" thickBot="1" x14ac:dyDescent="0.4">
      <c r="C88" s="109"/>
      <c r="H88" s="107"/>
      <c r="I88" s="107"/>
      <c r="J88" s="107"/>
      <c r="K88" s="107"/>
      <c r="O88" s="1"/>
    </row>
    <row r="89" spans="2:15" ht="15" thickBot="1" x14ac:dyDescent="0.4">
      <c r="B89" s="45">
        <v>7</v>
      </c>
      <c r="C89" s="79" t="s">
        <v>29</v>
      </c>
      <c r="D89" s="46" t="s">
        <v>182</v>
      </c>
      <c r="E89" s="148"/>
      <c r="F89" s="148"/>
      <c r="G89" s="148"/>
      <c r="H89" s="149"/>
      <c r="I89" s="149"/>
      <c r="J89" s="149"/>
      <c r="K89" s="149"/>
      <c r="L89" s="150">
        <f>L90</f>
        <v>0</v>
      </c>
      <c r="M89" s="151"/>
      <c r="O89" s="1"/>
    </row>
    <row r="90" spans="2:15" ht="15" thickBot="1" x14ac:dyDescent="0.4">
      <c r="B90" s="97"/>
      <c r="C90" s="110"/>
      <c r="D90" s="111"/>
      <c r="E90" s="138"/>
      <c r="F90" s="138"/>
      <c r="G90" s="139"/>
      <c r="H90" s="140"/>
      <c r="I90" s="140"/>
      <c r="J90" s="140"/>
      <c r="K90" s="140"/>
      <c r="L90" s="141"/>
      <c r="M90" s="142"/>
      <c r="O90" s="1"/>
    </row>
    <row r="91" spans="2:15" ht="15" thickBot="1" x14ac:dyDescent="0.4">
      <c r="O91" s="1"/>
    </row>
    <row r="92" spans="2:15" ht="15" thickBot="1" x14ac:dyDescent="0.4">
      <c r="C92" s="114" t="s">
        <v>185</v>
      </c>
      <c r="D92" s="115"/>
      <c r="E92" s="115"/>
      <c r="F92" s="115"/>
      <c r="G92" s="116"/>
      <c r="K92" s="117" t="s">
        <v>186</v>
      </c>
      <c r="L92" s="143">
        <f>L20+L29+L40+L56+L63+L78+L89</f>
        <v>0</v>
      </c>
      <c r="M92" s="144"/>
      <c r="O92" s="1"/>
    </row>
    <row r="93" spans="2:15" ht="15" thickBot="1" x14ac:dyDescent="0.4">
      <c r="C93" s="121" t="s">
        <v>187</v>
      </c>
      <c r="D93" s="122"/>
      <c r="E93" s="122"/>
      <c r="F93" s="122"/>
      <c r="J93" s="120"/>
      <c r="K93" s="117" t="s">
        <v>188</v>
      </c>
      <c r="L93" s="143">
        <f>(L92-L29)*0.16</f>
        <v>0</v>
      </c>
      <c r="M93" s="144"/>
      <c r="O93" s="1"/>
    </row>
    <row r="94" spans="2:15" ht="15" thickBot="1" x14ac:dyDescent="0.4">
      <c r="C94" s="121" t="s">
        <v>189</v>
      </c>
      <c r="D94" s="122"/>
      <c r="E94" s="122"/>
      <c r="F94" s="122"/>
      <c r="K94" s="117" t="s">
        <v>190</v>
      </c>
      <c r="L94" s="145">
        <f>L92+L93</f>
        <v>0</v>
      </c>
      <c r="M94" s="146"/>
      <c r="O94" s="1"/>
    </row>
    <row r="95" spans="2:15" ht="6" customHeight="1" x14ac:dyDescent="0.35">
      <c r="B95" s="124"/>
      <c r="C95" s="124"/>
      <c r="D95" s="124"/>
      <c r="E95" s="124"/>
      <c r="F95" s="124"/>
      <c r="G95" s="124"/>
      <c r="H95" s="124"/>
      <c r="I95" s="124"/>
      <c r="J95" s="124"/>
      <c r="K95" s="124"/>
      <c r="L95" s="124"/>
      <c r="M95" s="124"/>
      <c r="O95" s="1"/>
    </row>
    <row r="96" spans="2:15" ht="15" customHeight="1" x14ac:dyDescent="0.35">
      <c r="O96" s="1"/>
    </row>
    <row r="97" spans="2:15" x14ac:dyDescent="0.35">
      <c r="O97" s="1"/>
    </row>
    <row r="98" spans="2:15" ht="15" thickBot="1" x14ac:dyDescent="0.4">
      <c r="B98" s="125" t="s">
        <v>191</v>
      </c>
      <c r="C98" s="125"/>
      <c r="D98" s="125"/>
      <c r="E98" s="125"/>
      <c r="F98" s="125"/>
      <c r="G98" s="125"/>
      <c r="H98" s="125"/>
      <c r="I98" s="125"/>
      <c r="J98" s="125"/>
      <c r="K98" s="125"/>
      <c r="L98" s="125"/>
      <c r="M98" s="125"/>
      <c r="O98" s="1"/>
    </row>
    <row r="99" spans="2:15" ht="6" customHeight="1" x14ac:dyDescent="0.35">
      <c r="O99" s="1"/>
    </row>
    <row r="100" spans="2:15" x14ac:dyDescent="0.35">
      <c r="B100" s="126" t="s">
        <v>192</v>
      </c>
      <c r="C100" s="127"/>
      <c r="D100" s="127"/>
      <c r="E100" s="127"/>
      <c r="F100" s="127"/>
      <c r="G100" s="127"/>
      <c r="H100" s="127"/>
      <c r="I100" s="127"/>
      <c r="J100" s="127"/>
      <c r="K100" s="127"/>
      <c r="L100" s="127"/>
      <c r="M100" s="128"/>
      <c r="O100" s="1"/>
    </row>
    <row r="101" spans="2:15" ht="25" customHeight="1" x14ac:dyDescent="0.35">
      <c r="B101" s="129"/>
      <c r="C101" s="130"/>
      <c r="D101" s="130"/>
      <c r="E101" s="130"/>
      <c r="F101" s="130"/>
      <c r="G101" s="130"/>
      <c r="H101" s="130"/>
      <c r="I101" s="130"/>
      <c r="J101" s="130"/>
      <c r="K101" s="130"/>
      <c r="L101" s="130"/>
      <c r="M101" s="131"/>
      <c r="O101" s="1"/>
    </row>
    <row r="102" spans="2:15" x14ac:dyDescent="0.35">
      <c r="B102" s="132"/>
      <c r="C102" s="133"/>
      <c r="D102" s="133"/>
      <c r="E102" s="133"/>
      <c r="F102" s="133"/>
      <c r="G102" s="133"/>
      <c r="H102" s="133"/>
      <c r="I102" s="133"/>
      <c r="J102" s="133"/>
      <c r="K102" s="133"/>
      <c r="L102" s="133"/>
      <c r="M102" s="134"/>
      <c r="O102" s="1"/>
    </row>
    <row r="103" spans="2:15" x14ac:dyDescent="0.35">
      <c r="B103" s="132"/>
      <c r="C103" s="133"/>
      <c r="D103" s="133"/>
      <c r="E103" s="133"/>
      <c r="F103" s="133"/>
      <c r="G103" s="133"/>
      <c r="H103" s="133"/>
      <c r="I103" s="133"/>
      <c r="J103" s="133"/>
      <c r="K103" s="133"/>
      <c r="L103" s="133"/>
      <c r="M103" s="134"/>
      <c r="O103" s="1"/>
    </row>
    <row r="104" spans="2:15" x14ac:dyDescent="0.35">
      <c r="B104" s="135"/>
      <c r="C104" s="136"/>
      <c r="D104" s="136"/>
      <c r="E104" s="136"/>
      <c r="F104" s="136"/>
      <c r="G104" s="136"/>
      <c r="H104" s="136"/>
      <c r="I104" s="136"/>
      <c r="J104" s="136"/>
      <c r="K104" s="136"/>
      <c r="L104" s="136"/>
      <c r="M104" s="137"/>
      <c r="O104" s="1"/>
    </row>
    <row r="105" spans="2:15" ht="6" customHeight="1" x14ac:dyDescent="0.35">
      <c r="B105" s="2"/>
      <c r="C105" s="2"/>
      <c r="D105" s="2"/>
      <c r="E105" s="2"/>
      <c r="F105" s="2"/>
      <c r="G105" s="2"/>
      <c r="H105" s="2"/>
      <c r="I105" s="2"/>
      <c r="J105" s="2"/>
      <c r="K105" s="2"/>
      <c r="L105" s="2"/>
      <c r="M105" s="2"/>
      <c r="O105" s="1"/>
    </row>
    <row r="106" spans="2:15" x14ac:dyDescent="0.35">
      <c r="B106" s="126" t="s">
        <v>79</v>
      </c>
      <c r="C106" s="127"/>
      <c r="D106" s="127"/>
      <c r="E106" s="127"/>
      <c r="F106" s="127"/>
      <c r="G106" s="127"/>
      <c r="H106" s="127"/>
      <c r="I106" s="127"/>
      <c r="J106" s="127"/>
      <c r="K106" s="127"/>
      <c r="L106" s="127"/>
      <c r="M106" s="128"/>
      <c r="O106" s="1"/>
    </row>
    <row r="107" spans="2:15" ht="25" customHeight="1" x14ac:dyDescent="0.35">
      <c r="B107" s="129"/>
      <c r="C107" s="130"/>
      <c r="D107" s="130"/>
      <c r="E107" s="130"/>
      <c r="F107" s="130"/>
      <c r="G107" s="130"/>
      <c r="H107" s="130"/>
      <c r="I107" s="130"/>
      <c r="J107" s="130"/>
      <c r="K107" s="130"/>
      <c r="L107" s="130"/>
      <c r="M107" s="131"/>
      <c r="O107" s="1"/>
    </row>
    <row r="108" spans="2:15" x14ac:dyDescent="0.35">
      <c r="B108" s="132"/>
      <c r="C108" s="133"/>
      <c r="D108" s="133"/>
      <c r="E108" s="133"/>
      <c r="F108" s="133"/>
      <c r="G108" s="133"/>
      <c r="H108" s="133"/>
      <c r="I108" s="133"/>
      <c r="J108" s="133"/>
      <c r="K108" s="133"/>
      <c r="L108" s="133"/>
      <c r="M108" s="134"/>
      <c r="O108" s="1"/>
    </row>
    <row r="109" spans="2:15" x14ac:dyDescent="0.35">
      <c r="B109" s="132"/>
      <c r="C109" s="133"/>
      <c r="D109" s="133"/>
      <c r="E109" s="133"/>
      <c r="F109" s="133"/>
      <c r="G109" s="133"/>
      <c r="H109" s="133"/>
      <c r="I109" s="133"/>
      <c r="J109" s="133"/>
      <c r="K109" s="133"/>
      <c r="L109" s="133"/>
      <c r="M109" s="134"/>
      <c r="O109" s="1"/>
    </row>
    <row r="110" spans="2:15" x14ac:dyDescent="0.35">
      <c r="B110" s="135"/>
      <c r="C110" s="136"/>
      <c r="D110" s="136"/>
      <c r="E110" s="136"/>
      <c r="F110" s="136"/>
      <c r="G110" s="136"/>
      <c r="H110" s="136"/>
      <c r="I110" s="136"/>
      <c r="J110" s="136"/>
      <c r="K110" s="136"/>
      <c r="L110" s="136"/>
      <c r="M110" s="137"/>
      <c r="O110" s="1"/>
    </row>
    <row r="111" spans="2:15" ht="6" customHeight="1" x14ac:dyDescent="0.35">
      <c r="B111" s="2"/>
      <c r="C111" s="2"/>
      <c r="D111" s="2"/>
      <c r="E111" s="2"/>
      <c r="F111" s="2"/>
      <c r="G111" s="2"/>
      <c r="H111" s="2"/>
      <c r="I111" s="2"/>
      <c r="J111" s="2"/>
      <c r="K111" s="2"/>
      <c r="L111" s="2"/>
      <c r="M111" s="2"/>
      <c r="O111" s="1"/>
    </row>
    <row r="112" spans="2:15" x14ac:dyDescent="0.35">
      <c r="B112" s="126" t="s">
        <v>116</v>
      </c>
      <c r="C112" s="127"/>
      <c r="D112" s="127"/>
      <c r="E112" s="127"/>
      <c r="F112" s="127"/>
      <c r="G112" s="127"/>
      <c r="H112" s="127"/>
      <c r="I112" s="127"/>
      <c r="J112" s="127"/>
      <c r="K112" s="127"/>
      <c r="L112" s="127"/>
      <c r="M112" s="128"/>
      <c r="O112" s="1"/>
    </row>
    <row r="113" spans="2:15" ht="25" customHeight="1" x14ac:dyDescent="0.35">
      <c r="B113" s="129"/>
      <c r="C113" s="130"/>
      <c r="D113" s="130"/>
      <c r="E113" s="130"/>
      <c r="F113" s="130"/>
      <c r="G113" s="130"/>
      <c r="H113" s="130"/>
      <c r="I113" s="130"/>
      <c r="J113" s="130"/>
      <c r="K113" s="130"/>
      <c r="L113" s="130"/>
      <c r="M113" s="131"/>
      <c r="O113" s="1"/>
    </row>
    <row r="114" spans="2:15" x14ac:dyDescent="0.35">
      <c r="B114" s="132"/>
      <c r="C114" s="133"/>
      <c r="D114" s="133"/>
      <c r="E114" s="133"/>
      <c r="F114" s="133"/>
      <c r="G114" s="133"/>
      <c r="H114" s="133"/>
      <c r="I114" s="133"/>
      <c r="J114" s="133"/>
      <c r="K114" s="133"/>
      <c r="L114" s="133"/>
      <c r="M114" s="134"/>
      <c r="O114" s="1"/>
    </row>
    <row r="115" spans="2:15" x14ac:dyDescent="0.35">
      <c r="B115" s="132"/>
      <c r="C115" s="133"/>
      <c r="D115" s="133"/>
      <c r="E115" s="133"/>
      <c r="F115" s="133"/>
      <c r="G115" s="133"/>
      <c r="H115" s="133"/>
      <c r="I115" s="133"/>
      <c r="J115" s="133"/>
      <c r="K115" s="133"/>
      <c r="L115" s="133"/>
      <c r="M115" s="134"/>
      <c r="O115" s="1"/>
    </row>
    <row r="116" spans="2:15" x14ac:dyDescent="0.35">
      <c r="B116" s="135"/>
      <c r="C116" s="136"/>
      <c r="D116" s="136"/>
      <c r="E116" s="136"/>
      <c r="F116" s="136"/>
      <c r="G116" s="136"/>
      <c r="H116" s="136"/>
      <c r="I116" s="136"/>
      <c r="J116" s="136"/>
      <c r="K116" s="136"/>
      <c r="L116" s="136"/>
      <c r="M116" s="137"/>
      <c r="O116" s="1"/>
    </row>
    <row r="117" spans="2:15" ht="6" customHeight="1" x14ac:dyDescent="0.35">
      <c r="B117" s="2"/>
      <c r="C117" s="2"/>
      <c r="D117" s="2"/>
      <c r="E117" s="2"/>
      <c r="F117" s="2"/>
      <c r="G117" s="2"/>
      <c r="H117" s="2"/>
      <c r="I117" s="2"/>
      <c r="J117" s="2"/>
      <c r="K117" s="2"/>
      <c r="L117" s="2"/>
      <c r="M117" s="2"/>
      <c r="O117" s="1"/>
    </row>
    <row r="118" spans="2:15" x14ac:dyDescent="0.35">
      <c r="B118" s="126" t="s">
        <v>193</v>
      </c>
      <c r="C118" s="127"/>
      <c r="D118" s="127"/>
      <c r="E118" s="127"/>
      <c r="F118" s="127"/>
      <c r="G118" s="127"/>
      <c r="H118" s="127"/>
      <c r="I118" s="127"/>
      <c r="J118" s="127"/>
      <c r="K118" s="127"/>
      <c r="L118" s="127"/>
      <c r="M118" s="128"/>
      <c r="O118" s="1"/>
    </row>
    <row r="119" spans="2:15" ht="25" customHeight="1" x14ac:dyDescent="0.35">
      <c r="B119" s="129"/>
      <c r="C119" s="130"/>
      <c r="D119" s="130"/>
      <c r="E119" s="130"/>
      <c r="F119" s="130"/>
      <c r="G119" s="130"/>
      <c r="H119" s="130"/>
      <c r="I119" s="130"/>
      <c r="J119" s="130"/>
      <c r="K119" s="130"/>
      <c r="L119" s="130"/>
      <c r="M119" s="131"/>
      <c r="O119" s="1"/>
    </row>
    <row r="120" spans="2:15" x14ac:dyDescent="0.35">
      <c r="B120" s="132"/>
      <c r="C120" s="133"/>
      <c r="D120" s="133"/>
      <c r="E120" s="133"/>
      <c r="F120" s="133"/>
      <c r="G120" s="133"/>
      <c r="H120" s="133"/>
      <c r="I120" s="133"/>
      <c r="J120" s="133"/>
      <c r="K120" s="133"/>
      <c r="L120" s="133"/>
      <c r="M120" s="134"/>
      <c r="O120" s="1"/>
    </row>
    <row r="121" spans="2:15" x14ac:dyDescent="0.35">
      <c r="B121" s="132"/>
      <c r="C121" s="133"/>
      <c r="D121" s="133"/>
      <c r="E121" s="133"/>
      <c r="F121" s="133"/>
      <c r="G121" s="133"/>
      <c r="H121" s="133"/>
      <c r="I121" s="133"/>
      <c r="J121" s="133"/>
      <c r="K121" s="133"/>
      <c r="L121" s="133"/>
      <c r="M121" s="134"/>
      <c r="O121" s="1"/>
    </row>
    <row r="122" spans="2:15" x14ac:dyDescent="0.35">
      <c r="B122" s="135"/>
      <c r="C122" s="136"/>
      <c r="D122" s="136"/>
      <c r="E122" s="136"/>
      <c r="F122" s="136"/>
      <c r="G122" s="136"/>
      <c r="H122" s="136"/>
      <c r="I122" s="136"/>
      <c r="J122" s="136"/>
      <c r="K122" s="136"/>
      <c r="L122" s="136"/>
      <c r="M122" s="137"/>
      <c r="O122" s="1"/>
    </row>
    <row r="123" spans="2:15" ht="6" customHeight="1" x14ac:dyDescent="0.35">
      <c r="B123" s="2"/>
      <c r="C123" s="2"/>
      <c r="D123" s="2"/>
      <c r="E123" s="2"/>
      <c r="F123" s="2"/>
      <c r="G123" s="2"/>
      <c r="H123" s="2"/>
      <c r="I123" s="2"/>
      <c r="J123" s="2"/>
      <c r="K123" s="2"/>
      <c r="L123" s="2"/>
      <c r="M123" s="2"/>
      <c r="O123" s="1"/>
    </row>
    <row r="124" spans="2:15" x14ac:dyDescent="0.35">
      <c r="B124" s="126" t="s">
        <v>160</v>
      </c>
      <c r="C124" s="127"/>
      <c r="D124" s="127"/>
      <c r="E124" s="127"/>
      <c r="F124" s="127"/>
      <c r="G124" s="127"/>
      <c r="H124" s="127"/>
      <c r="I124" s="127"/>
      <c r="J124" s="127"/>
      <c r="K124" s="127"/>
      <c r="L124" s="127"/>
      <c r="M124" s="128"/>
      <c r="O124" s="1"/>
    </row>
    <row r="125" spans="2:15" ht="25" customHeight="1" x14ac:dyDescent="0.35">
      <c r="B125" s="129"/>
      <c r="C125" s="130"/>
      <c r="D125" s="130"/>
      <c r="E125" s="130"/>
      <c r="F125" s="130"/>
      <c r="G125" s="130"/>
      <c r="H125" s="130"/>
      <c r="I125" s="130"/>
      <c r="J125" s="130"/>
      <c r="K125" s="130"/>
      <c r="L125" s="130"/>
      <c r="M125" s="131"/>
      <c r="O125" s="1"/>
    </row>
    <row r="126" spans="2:15" x14ac:dyDescent="0.35">
      <c r="B126" s="132"/>
      <c r="C126" s="133"/>
      <c r="D126" s="133"/>
      <c r="E126" s="133"/>
      <c r="F126" s="133"/>
      <c r="G126" s="133"/>
      <c r="H126" s="133"/>
      <c r="I126" s="133"/>
      <c r="J126" s="133"/>
      <c r="K126" s="133"/>
      <c r="L126" s="133"/>
      <c r="M126" s="134"/>
      <c r="O126" s="1"/>
    </row>
    <row r="127" spans="2:15" x14ac:dyDescent="0.35">
      <c r="B127" s="132"/>
      <c r="C127" s="133"/>
      <c r="D127" s="133"/>
      <c r="E127" s="133"/>
      <c r="F127" s="133"/>
      <c r="G127" s="133"/>
      <c r="H127" s="133"/>
      <c r="I127" s="133"/>
      <c r="J127" s="133"/>
      <c r="K127" s="133"/>
      <c r="L127" s="133"/>
      <c r="M127" s="134"/>
      <c r="O127" s="1"/>
    </row>
    <row r="128" spans="2:15" x14ac:dyDescent="0.35">
      <c r="B128" s="135"/>
      <c r="C128" s="136"/>
      <c r="D128" s="136"/>
      <c r="E128" s="136"/>
      <c r="F128" s="136"/>
      <c r="G128" s="136"/>
      <c r="H128" s="136"/>
      <c r="I128" s="136"/>
      <c r="J128" s="136"/>
      <c r="K128" s="136"/>
      <c r="L128" s="136"/>
      <c r="M128" s="137"/>
      <c r="O128" s="1"/>
    </row>
  </sheetData>
  <mergeCells count="202">
    <mergeCell ref="K7:M7"/>
    <mergeCell ref="B8:M8"/>
    <mergeCell ref="D10:E10"/>
    <mergeCell ref="G10:G12"/>
    <mergeCell ref="H10:J12"/>
    <mergeCell ref="L10:L11"/>
    <mergeCell ref="M10:M11"/>
    <mergeCell ref="D11:E11"/>
    <mergeCell ref="D12:E12"/>
    <mergeCell ref="F20:G20"/>
    <mergeCell ref="H20:K20"/>
    <mergeCell ref="L20:M20"/>
    <mergeCell ref="F21:G21"/>
    <mergeCell ref="H21:K21"/>
    <mergeCell ref="L21:M21"/>
    <mergeCell ref="B14:M14"/>
    <mergeCell ref="B15:M15"/>
    <mergeCell ref="B16:M16"/>
    <mergeCell ref="E18:H18"/>
    <mergeCell ref="L18:M18"/>
    <mergeCell ref="F19:H19"/>
    <mergeCell ref="L19:M19"/>
    <mergeCell ref="F24:G24"/>
    <mergeCell ref="H24:K24"/>
    <mergeCell ref="L24:M24"/>
    <mergeCell ref="F25:G25"/>
    <mergeCell ref="H25:K25"/>
    <mergeCell ref="L25:M25"/>
    <mergeCell ref="F22:G22"/>
    <mergeCell ref="H22:K22"/>
    <mergeCell ref="L22:M22"/>
    <mergeCell ref="F23:G23"/>
    <mergeCell ref="H23:K23"/>
    <mergeCell ref="L23:M23"/>
    <mergeCell ref="E29:G29"/>
    <mergeCell ref="H29:K29"/>
    <mergeCell ref="L29:M29"/>
    <mergeCell ref="E30:G30"/>
    <mergeCell ref="H30:K30"/>
    <mergeCell ref="L30:M30"/>
    <mergeCell ref="F26:G26"/>
    <mergeCell ref="H26:K26"/>
    <mergeCell ref="L26:M26"/>
    <mergeCell ref="F27:G27"/>
    <mergeCell ref="H27:K27"/>
    <mergeCell ref="L27:M27"/>
    <mergeCell ref="E33:G33"/>
    <mergeCell ref="H33:K33"/>
    <mergeCell ref="L33:M33"/>
    <mergeCell ref="E34:G34"/>
    <mergeCell ref="H34:K34"/>
    <mergeCell ref="L34:M34"/>
    <mergeCell ref="E31:G31"/>
    <mergeCell ref="H31:K31"/>
    <mergeCell ref="L31:M31"/>
    <mergeCell ref="E32:G32"/>
    <mergeCell ref="H32:K32"/>
    <mergeCell ref="L32:M32"/>
    <mergeCell ref="E37:G37"/>
    <mergeCell ref="H37:K37"/>
    <mergeCell ref="L37:M37"/>
    <mergeCell ref="E38:G38"/>
    <mergeCell ref="H38:K38"/>
    <mergeCell ref="L38:M38"/>
    <mergeCell ref="E35:G35"/>
    <mergeCell ref="H35:K35"/>
    <mergeCell ref="L35:M35"/>
    <mergeCell ref="E36:G36"/>
    <mergeCell ref="H36:K36"/>
    <mergeCell ref="L36:M36"/>
    <mergeCell ref="F43:J43"/>
    <mergeCell ref="L43:M43"/>
    <mergeCell ref="F44:J44"/>
    <mergeCell ref="L44:M44"/>
    <mergeCell ref="F45:J45"/>
    <mergeCell ref="L45:M45"/>
    <mergeCell ref="F40:J40"/>
    <mergeCell ref="L40:M40"/>
    <mergeCell ref="F41:J41"/>
    <mergeCell ref="L41:M41"/>
    <mergeCell ref="F42:J42"/>
    <mergeCell ref="L42:M42"/>
    <mergeCell ref="F49:J49"/>
    <mergeCell ref="L49:M49"/>
    <mergeCell ref="F50:J50"/>
    <mergeCell ref="L50:M50"/>
    <mergeCell ref="F51:J51"/>
    <mergeCell ref="L51:M51"/>
    <mergeCell ref="F46:J46"/>
    <mergeCell ref="L46:M46"/>
    <mergeCell ref="F47:J47"/>
    <mergeCell ref="L47:M47"/>
    <mergeCell ref="F48:J48"/>
    <mergeCell ref="L48:M48"/>
    <mergeCell ref="E57:G57"/>
    <mergeCell ref="H57:K57"/>
    <mergeCell ref="L57:M57"/>
    <mergeCell ref="E58:G58"/>
    <mergeCell ref="H58:K58"/>
    <mergeCell ref="L58:M58"/>
    <mergeCell ref="L52:M52"/>
    <mergeCell ref="L53:M53"/>
    <mergeCell ref="F54:J54"/>
    <mergeCell ref="L54:M54"/>
    <mergeCell ref="E56:G56"/>
    <mergeCell ref="H56:K56"/>
    <mergeCell ref="L56:M56"/>
    <mergeCell ref="E61:G61"/>
    <mergeCell ref="H61:K61"/>
    <mergeCell ref="L61:M61"/>
    <mergeCell ref="E63:G63"/>
    <mergeCell ref="H63:K63"/>
    <mergeCell ref="L63:M63"/>
    <mergeCell ref="E59:G59"/>
    <mergeCell ref="H59:K59"/>
    <mergeCell ref="L59:M59"/>
    <mergeCell ref="E60:G60"/>
    <mergeCell ref="H60:K60"/>
    <mergeCell ref="L60:M60"/>
    <mergeCell ref="E66:G66"/>
    <mergeCell ref="H66:K66"/>
    <mergeCell ref="L66:M66"/>
    <mergeCell ref="E67:G67"/>
    <mergeCell ref="H67:K67"/>
    <mergeCell ref="L67:M67"/>
    <mergeCell ref="E64:G64"/>
    <mergeCell ref="H64:K64"/>
    <mergeCell ref="L64:M64"/>
    <mergeCell ref="E65:G65"/>
    <mergeCell ref="H65:K65"/>
    <mergeCell ref="L65:M65"/>
    <mergeCell ref="E70:G70"/>
    <mergeCell ref="H70:K70"/>
    <mergeCell ref="L70:M70"/>
    <mergeCell ref="E71:G71"/>
    <mergeCell ref="H71:K71"/>
    <mergeCell ref="L71:M71"/>
    <mergeCell ref="E68:G68"/>
    <mergeCell ref="H68:K68"/>
    <mergeCell ref="L68:M68"/>
    <mergeCell ref="E69:G69"/>
    <mergeCell ref="H69:K69"/>
    <mergeCell ref="L69:M69"/>
    <mergeCell ref="E74:G74"/>
    <mergeCell ref="H74:K74"/>
    <mergeCell ref="L74:M74"/>
    <mergeCell ref="E75:G75"/>
    <mergeCell ref="H75:K75"/>
    <mergeCell ref="L75:M75"/>
    <mergeCell ref="E72:G72"/>
    <mergeCell ref="H72:K72"/>
    <mergeCell ref="L72:M72"/>
    <mergeCell ref="E73:G73"/>
    <mergeCell ref="H73:K73"/>
    <mergeCell ref="L73:M73"/>
    <mergeCell ref="E79:G79"/>
    <mergeCell ref="H79:K79"/>
    <mergeCell ref="L79:M79"/>
    <mergeCell ref="E80:G80"/>
    <mergeCell ref="H80:K80"/>
    <mergeCell ref="L80:M80"/>
    <mergeCell ref="E76:G76"/>
    <mergeCell ref="H76:K76"/>
    <mergeCell ref="L76:M76"/>
    <mergeCell ref="E78:G78"/>
    <mergeCell ref="H78:K78"/>
    <mergeCell ref="L78:M78"/>
    <mergeCell ref="E83:G83"/>
    <mergeCell ref="H83:K83"/>
    <mergeCell ref="L83:M83"/>
    <mergeCell ref="E84:G84"/>
    <mergeCell ref="H84:K84"/>
    <mergeCell ref="L84:M84"/>
    <mergeCell ref="E81:G81"/>
    <mergeCell ref="H81:K81"/>
    <mergeCell ref="L81:M81"/>
    <mergeCell ref="E82:G82"/>
    <mergeCell ref="H82:K82"/>
    <mergeCell ref="L82:M82"/>
    <mergeCell ref="E87:G87"/>
    <mergeCell ref="H87:K87"/>
    <mergeCell ref="L87:M87"/>
    <mergeCell ref="E89:G89"/>
    <mergeCell ref="H89:K89"/>
    <mergeCell ref="L89:M89"/>
    <mergeCell ref="E85:G85"/>
    <mergeCell ref="H85:K85"/>
    <mergeCell ref="L85:M85"/>
    <mergeCell ref="E86:G86"/>
    <mergeCell ref="H86:K86"/>
    <mergeCell ref="L86:M86"/>
    <mergeCell ref="B101:M104"/>
    <mergeCell ref="B107:M110"/>
    <mergeCell ref="B113:M116"/>
    <mergeCell ref="B119:M122"/>
    <mergeCell ref="B125:M128"/>
    <mergeCell ref="E90:G90"/>
    <mergeCell ref="H90:K90"/>
    <mergeCell ref="L90:M90"/>
    <mergeCell ref="L92:M92"/>
    <mergeCell ref="L93:M93"/>
    <mergeCell ref="L94:M94"/>
  </mergeCells>
  <pageMargins left="0.7" right="0.7" top="0.75" bottom="0.75" header="0.3" footer="0.3"/>
  <pageSetup scale="60" orientation="portrait" r:id="rId1"/>
  <headerFooter>
    <oddHeader>&amp;R&amp;"Aptos,Regular"&amp;D</oddHeader>
    <oddFooter>&amp;R&amp;"Aptos,Regular"Página &amp;P&amp; de &amp;N</oddFooter>
  </headerFooter>
  <rowBreaks count="1" manualBreakCount="1">
    <brk id="61"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5D6FE-333E-41FF-8216-5A96AFC8AD85}">
  <dimension ref="B1:Y128"/>
  <sheetViews>
    <sheetView showGridLines="0" zoomScale="78" zoomScaleNormal="82" workbookViewId="0">
      <selection activeCell="E34" sqref="E34:G34"/>
    </sheetView>
  </sheetViews>
  <sheetFormatPr defaultRowHeight="14.5" x14ac:dyDescent="0.35"/>
  <cols>
    <col min="1" max="1" width="2.54296875" customWidth="1"/>
    <col min="2" max="2" width="8.81640625" bestFit="1" customWidth="1"/>
    <col min="3" max="3" width="15.54296875" customWidth="1"/>
    <col min="4" max="4" width="18.7265625" customWidth="1"/>
    <col min="5" max="5" width="15.1796875" customWidth="1"/>
    <col min="6" max="6" width="3.81640625" customWidth="1"/>
    <col min="7" max="7" width="9.453125" customWidth="1"/>
    <col min="8" max="10" width="16.1796875" customWidth="1"/>
    <col min="11" max="11" width="8.90625" customWidth="1"/>
    <col min="12" max="12" width="11.90625" customWidth="1"/>
    <col min="13" max="13" width="10.54296875" customWidth="1"/>
    <col min="14" max="14" width="2.81640625" customWidth="1"/>
    <col min="15" max="15" width="1.08984375" customWidth="1"/>
    <col min="16" max="16" width="2.81640625" customWidth="1"/>
    <col min="17" max="24" width="13.6328125" customWidth="1"/>
    <col min="25" max="25" width="13.453125" customWidth="1"/>
  </cols>
  <sheetData>
    <row r="1" spans="2:25" ht="15" thickBot="1" x14ac:dyDescent="0.4">
      <c r="O1" s="1"/>
      <c r="Q1" s="2" t="s">
        <v>0</v>
      </c>
    </row>
    <row r="2" spans="2:25" ht="17" customHeight="1" x14ac:dyDescent="0.35">
      <c r="B2" s="3"/>
      <c r="C2" s="4"/>
      <c r="D2" s="4"/>
      <c r="E2" s="4"/>
      <c r="F2" s="5"/>
      <c r="G2" s="5"/>
      <c r="H2" s="5"/>
      <c r="I2" s="5"/>
      <c r="J2" s="5"/>
      <c r="K2" s="5"/>
      <c r="L2" s="6"/>
      <c r="M2" s="7"/>
      <c r="O2" s="1"/>
      <c r="Q2" s="8" t="s">
        <v>1</v>
      </c>
      <c r="R2" s="8" t="s">
        <v>2</v>
      </c>
      <c r="S2" s="8" t="s">
        <v>3</v>
      </c>
      <c r="T2" s="8" t="s">
        <v>4</v>
      </c>
      <c r="U2" s="8" t="s">
        <v>5</v>
      </c>
      <c r="V2" s="8" t="s">
        <v>6</v>
      </c>
      <c r="W2" s="8" t="s">
        <v>7</v>
      </c>
      <c r="X2" s="9" t="s">
        <v>8</v>
      </c>
      <c r="Y2" s="8" t="s">
        <v>9</v>
      </c>
    </row>
    <row r="3" spans="2:25" ht="17" customHeight="1" x14ac:dyDescent="0.35">
      <c r="B3" s="10"/>
      <c r="C3" s="11"/>
      <c r="D3" s="11"/>
      <c r="E3" s="11"/>
      <c r="F3" s="12"/>
      <c r="G3" s="12"/>
      <c r="H3" s="12"/>
      <c r="I3" s="12"/>
      <c r="J3" s="12"/>
      <c r="K3" s="12"/>
      <c r="L3" s="13"/>
      <c r="M3" s="14"/>
      <c r="O3" s="1"/>
      <c r="Q3" s="15" t="s">
        <v>10</v>
      </c>
      <c r="R3" s="15">
        <f>SUMIF($S$21:$S$27,R$2,$Q$21:$Q$27)</f>
        <v>391589.2</v>
      </c>
      <c r="S3" s="15">
        <f>SUMIF($S$21:$S$27,S$2,$Q$21:$Q$27)</f>
        <v>35100</v>
      </c>
      <c r="T3" s="15">
        <f>SUMIF($S$41:$S$54,T2,$Q$41:$Q$54)</f>
        <v>18677.609999999997</v>
      </c>
      <c r="U3" s="15">
        <f>SUMIF($S$57:$S$61,U2,$Q$57:$Q$61)</f>
        <v>20844.810000000001</v>
      </c>
      <c r="V3" s="15">
        <f>SUMIF($S$64:$S$76,V2,$Q$64:$Q$76)</f>
        <v>79450</v>
      </c>
      <c r="W3" s="15">
        <f>SUMIF($S$79:$S$87,W2,$Q$79:$Q$87)</f>
        <v>59929</v>
      </c>
      <c r="X3" s="15"/>
      <c r="Y3" s="15">
        <f>SUM(R3:W3)</f>
        <v>605590.62</v>
      </c>
    </row>
    <row r="4" spans="2:25" ht="17" customHeight="1" x14ac:dyDescent="0.35">
      <c r="B4" s="10"/>
      <c r="C4" s="11"/>
      <c r="D4" s="11"/>
      <c r="E4" s="11"/>
      <c r="F4" s="12"/>
      <c r="G4" s="12"/>
      <c r="H4" s="12"/>
      <c r="I4" s="12"/>
      <c r="J4" s="12"/>
      <c r="K4" s="12"/>
      <c r="L4" s="13"/>
      <c r="M4" s="14"/>
      <c r="O4" s="1"/>
      <c r="Q4" s="16" t="s">
        <v>11</v>
      </c>
      <c r="R4" s="17">
        <f t="shared" ref="R4:W4" si="0">R3*0.16</f>
        <v>62654.272000000004</v>
      </c>
      <c r="S4" s="17">
        <f t="shared" si="0"/>
        <v>5616</v>
      </c>
      <c r="T4" s="17">
        <f t="shared" si="0"/>
        <v>2988.4175999999998</v>
      </c>
      <c r="U4" s="17">
        <f t="shared" si="0"/>
        <v>3335.1696000000002</v>
      </c>
      <c r="V4" s="17">
        <f t="shared" si="0"/>
        <v>12712</v>
      </c>
      <c r="W4" s="17">
        <f t="shared" si="0"/>
        <v>9588.64</v>
      </c>
      <c r="X4" s="17"/>
      <c r="Y4" s="17">
        <f>SUM(R4:W5)</f>
        <v>799379.61840000004</v>
      </c>
    </row>
    <row r="5" spans="2:25" ht="17" customHeight="1" thickBot="1" x14ac:dyDescent="0.4">
      <c r="B5" s="18"/>
      <c r="C5" s="19"/>
      <c r="D5" s="19"/>
      <c r="E5" s="19"/>
      <c r="F5" s="20"/>
      <c r="G5" s="20"/>
      <c r="H5" s="20"/>
      <c r="I5" s="20"/>
      <c r="J5" s="20"/>
      <c r="K5" s="20"/>
      <c r="L5" s="21"/>
      <c r="M5" s="22"/>
      <c r="O5" s="1"/>
      <c r="Q5" s="23" t="s">
        <v>9</v>
      </c>
      <c r="R5" s="23">
        <f t="shared" ref="R5:W5" si="1">R3+R4</f>
        <v>454243.47200000001</v>
      </c>
      <c r="S5" s="23">
        <f t="shared" si="1"/>
        <v>40716</v>
      </c>
      <c r="T5" s="23">
        <f t="shared" si="1"/>
        <v>21666.027599999998</v>
      </c>
      <c r="U5" s="23">
        <f t="shared" si="1"/>
        <v>24179.979600000002</v>
      </c>
      <c r="V5" s="23">
        <f t="shared" si="1"/>
        <v>92162</v>
      </c>
      <c r="W5" s="23">
        <f t="shared" si="1"/>
        <v>69517.64</v>
      </c>
      <c r="X5" s="23">
        <f>SUM(Q30:Q38)</f>
        <v>62011</v>
      </c>
      <c r="Y5" s="23">
        <f>Y3+Y4</f>
        <v>1404970.2384000001</v>
      </c>
    </row>
    <row r="6" spans="2:25" ht="6" customHeight="1" x14ac:dyDescent="0.35">
      <c r="B6" s="24"/>
      <c r="C6" s="24"/>
      <c r="D6" s="24"/>
      <c r="E6" s="24"/>
      <c r="F6" s="24"/>
      <c r="G6" s="24"/>
      <c r="H6" s="24"/>
      <c r="I6" s="24"/>
      <c r="J6" s="24"/>
      <c r="K6" s="24"/>
      <c r="L6" s="25"/>
      <c r="O6" s="1"/>
    </row>
    <row r="7" spans="2:25" ht="15" customHeight="1" x14ac:dyDescent="0.35">
      <c r="B7" s="24"/>
      <c r="C7" s="24"/>
      <c r="D7" s="24"/>
      <c r="E7" s="24"/>
      <c r="F7" s="24"/>
      <c r="G7" s="24"/>
      <c r="H7" s="26"/>
      <c r="I7" s="26"/>
      <c r="J7" s="26"/>
      <c r="K7" s="254">
        <f ca="1">TODAY()</f>
        <v>46160</v>
      </c>
      <c r="L7" s="254"/>
      <c r="M7" s="254"/>
      <c r="O7" s="1"/>
    </row>
    <row r="8" spans="2:25" ht="23" customHeight="1" x14ac:dyDescent="0.35">
      <c r="B8" s="239" t="s">
        <v>12</v>
      </c>
      <c r="C8" s="240"/>
      <c r="D8" s="240"/>
      <c r="E8" s="240"/>
      <c r="F8" s="240"/>
      <c r="G8" s="240"/>
      <c r="H8" s="240"/>
      <c r="I8" s="240"/>
      <c r="J8" s="240"/>
      <c r="K8" s="240"/>
      <c r="L8" s="240"/>
      <c r="M8" s="241"/>
      <c r="O8" s="1"/>
    </row>
    <row r="9" spans="2:25" ht="7" customHeight="1" thickBot="1" x14ac:dyDescent="0.4">
      <c r="B9" s="27"/>
      <c r="C9" s="27"/>
      <c r="D9" s="27"/>
      <c r="E9" s="27"/>
      <c r="F9" s="27"/>
      <c r="G9" s="27"/>
      <c r="H9" s="27"/>
      <c r="I9" s="27"/>
      <c r="J9" s="27"/>
      <c r="K9" s="27"/>
      <c r="L9" s="27"/>
      <c r="M9" s="27"/>
      <c r="O9" s="1"/>
    </row>
    <row r="10" spans="2:25" ht="16" customHeight="1" thickBot="1" x14ac:dyDescent="0.4">
      <c r="B10" s="28" t="s">
        <v>13</v>
      </c>
      <c r="C10" s="29"/>
      <c r="D10" s="255" t="s">
        <v>194</v>
      </c>
      <c r="E10" s="256"/>
      <c r="F10" s="30"/>
      <c r="G10" s="257" t="s">
        <v>14</v>
      </c>
      <c r="H10" s="260" t="s">
        <v>196</v>
      </c>
      <c r="I10" s="261"/>
      <c r="J10" s="262"/>
      <c r="K10" s="31"/>
      <c r="L10" s="269" t="s">
        <v>15</v>
      </c>
      <c r="M10" s="270" t="s">
        <v>16</v>
      </c>
      <c r="N10" s="33"/>
      <c r="O10" s="34"/>
      <c r="P10" s="33"/>
      <c r="Q10" s="33"/>
    </row>
    <row r="11" spans="2:25" ht="16" customHeight="1" thickBot="1" x14ac:dyDescent="0.4">
      <c r="B11" s="28" t="s">
        <v>17</v>
      </c>
      <c r="C11" s="29"/>
      <c r="D11" s="271">
        <v>8182888888</v>
      </c>
      <c r="E11" s="272"/>
      <c r="F11" s="30"/>
      <c r="G11" s="258"/>
      <c r="H11" s="263"/>
      <c r="I11" s="264"/>
      <c r="J11" s="265"/>
      <c r="K11" s="31"/>
      <c r="L11" s="269"/>
      <c r="M11" s="270"/>
      <c r="N11" s="33"/>
      <c r="O11" s="34"/>
      <c r="P11" s="33"/>
      <c r="Q11" s="33"/>
    </row>
    <row r="12" spans="2:25" ht="16" customHeight="1" thickBot="1" x14ac:dyDescent="0.4">
      <c r="B12" s="28" t="s">
        <v>18</v>
      </c>
      <c r="C12" s="29"/>
      <c r="D12" s="273" t="s">
        <v>195</v>
      </c>
      <c r="E12" s="274"/>
      <c r="F12" s="31"/>
      <c r="G12" s="259"/>
      <c r="H12" s="266"/>
      <c r="I12" s="267"/>
      <c r="J12" s="268"/>
      <c r="K12" s="31"/>
      <c r="L12" s="32" t="s">
        <v>19</v>
      </c>
      <c r="M12" s="35"/>
      <c r="N12" s="33"/>
      <c r="O12" s="34"/>
      <c r="P12" s="33"/>
      <c r="Q12" s="33"/>
    </row>
    <row r="13" spans="2:25" ht="6" customHeight="1" x14ac:dyDescent="0.35">
      <c r="B13" s="36"/>
      <c r="C13" s="36"/>
      <c r="D13" s="36"/>
      <c r="E13" s="36"/>
      <c r="F13" s="36"/>
      <c r="G13" s="36"/>
      <c r="H13" s="36"/>
      <c r="I13" s="36"/>
      <c r="J13" s="36"/>
      <c r="K13" s="36"/>
      <c r="L13" s="36"/>
      <c r="M13" s="36"/>
      <c r="O13" s="1"/>
    </row>
    <row r="14" spans="2:25" ht="23" customHeight="1" x14ac:dyDescent="0.35">
      <c r="B14" s="239" t="s">
        <v>20</v>
      </c>
      <c r="C14" s="240"/>
      <c r="D14" s="240"/>
      <c r="E14" s="240"/>
      <c r="F14" s="240"/>
      <c r="G14" s="240"/>
      <c r="H14" s="240"/>
      <c r="I14" s="240"/>
      <c r="J14" s="240"/>
      <c r="K14" s="240"/>
      <c r="L14" s="240"/>
      <c r="M14" s="241"/>
      <c r="O14" s="1"/>
    </row>
    <row r="15" spans="2:25" ht="15" hidden="1" customHeight="1" x14ac:dyDescent="0.35">
      <c r="B15" s="242" t="s">
        <v>21</v>
      </c>
      <c r="C15" s="243"/>
      <c r="D15" s="243"/>
      <c r="E15" s="243"/>
      <c r="F15" s="243"/>
      <c r="G15" s="243"/>
      <c r="H15" s="243"/>
      <c r="I15" s="243"/>
      <c r="J15" s="243"/>
      <c r="K15" s="243"/>
      <c r="L15" s="243"/>
      <c r="M15" s="244"/>
      <c r="O15" s="1"/>
    </row>
    <row r="16" spans="2:25" ht="15" hidden="1" customHeight="1" x14ac:dyDescent="0.35">
      <c r="B16" s="245" t="s">
        <v>22</v>
      </c>
      <c r="C16" s="246"/>
      <c r="D16" s="246"/>
      <c r="E16" s="247"/>
      <c r="F16" s="247"/>
      <c r="G16" s="247"/>
      <c r="H16" s="247"/>
      <c r="I16" s="247"/>
      <c r="J16" s="247"/>
      <c r="K16" s="247"/>
      <c r="L16" s="247"/>
      <c r="M16" s="248"/>
      <c r="O16" s="1"/>
    </row>
    <row r="17" spans="2:20" ht="6" customHeight="1" thickBot="1" x14ac:dyDescent="0.4">
      <c r="B17" s="31"/>
      <c r="C17" s="31"/>
      <c r="D17" s="31"/>
      <c r="E17" s="31"/>
      <c r="F17" s="31"/>
      <c r="G17" s="31"/>
      <c r="H17" s="31"/>
      <c r="I17" s="31"/>
      <c r="J17" s="31"/>
      <c r="K17" s="31"/>
      <c r="L17" s="31"/>
      <c r="M17" s="31"/>
      <c r="O17" s="1"/>
    </row>
    <row r="18" spans="2:20" ht="15" customHeight="1" thickBot="1" x14ac:dyDescent="0.4">
      <c r="B18" s="37" t="s">
        <v>23</v>
      </c>
      <c r="C18" s="38"/>
      <c r="D18" s="39" t="s">
        <v>24</v>
      </c>
      <c r="E18" s="249" t="s">
        <v>25</v>
      </c>
      <c r="F18" s="250"/>
      <c r="G18" s="250"/>
      <c r="H18" s="250"/>
      <c r="I18" s="40"/>
      <c r="J18" s="40"/>
      <c r="K18" s="38"/>
      <c r="L18" s="249" t="s">
        <v>26</v>
      </c>
      <c r="M18" s="251"/>
      <c r="O18" s="1"/>
      <c r="Q18" s="41" t="s">
        <v>27</v>
      </c>
      <c r="R18" s="41" t="s">
        <v>28</v>
      </c>
      <c r="S18" s="41" t="s">
        <v>1</v>
      </c>
    </row>
    <row r="19" spans="2:20" ht="6" customHeight="1" thickBot="1" x14ac:dyDescent="0.4">
      <c r="B19" s="42"/>
      <c r="C19" s="42"/>
      <c r="D19" s="42"/>
      <c r="E19" s="42"/>
      <c r="F19" s="252"/>
      <c r="G19" s="252"/>
      <c r="H19" s="252"/>
      <c r="I19" s="43"/>
      <c r="J19" s="43"/>
      <c r="K19" s="43"/>
      <c r="L19" s="253"/>
      <c r="M19" s="253"/>
      <c r="O19" s="1"/>
      <c r="Q19" s="44"/>
      <c r="R19" s="44"/>
      <c r="S19" s="44"/>
    </row>
    <row r="20" spans="2:20" ht="15" thickBot="1" x14ac:dyDescent="0.4">
      <c r="B20" s="45">
        <v>1</v>
      </c>
      <c r="C20" s="46" t="s">
        <v>29</v>
      </c>
      <c r="D20" s="46" t="s">
        <v>30</v>
      </c>
      <c r="E20" s="47" t="s">
        <v>31</v>
      </c>
      <c r="F20" s="199" t="s">
        <v>32</v>
      </c>
      <c r="G20" s="199"/>
      <c r="H20" s="199"/>
      <c r="I20" s="199"/>
      <c r="J20" s="199"/>
      <c r="K20" s="199"/>
      <c r="L20" s="150">
        <f>SUM(L21:M27)</f>
        <v>567496.63600000006</v>
      </c>
      <c r="M20" s="151"/>
      <c r="O20" s="1"/>
      <c r="Q20" s="48">
        <f>SUM(Q21:Q27)</f>
        <v>426689.2</v>
      </c>
      <c r="R20" s="48">
        <f>SUM(R21:R27)</f>
        <v>140807.43600000002</v>
      </c>
      <c r="S20" s="49"/>
      <c r="T20" s="50">
        <v>1.33</v>
      </c>
    </row>
    <row r="21" spans="2:20" ht="104.5" customHeight="1" x14ac:dyDescent="0.35">
      <c r="B21" s="51">
        <f>B20+0.01</f>
        <v>1.01</v>
      </c>
      <c r="C21" s="52" t="s">
        <v>33</v>
      </c>
      <c r="D21" s="53" t="s">
        <v>34</v>
      </c>
      <c r="E21" s="54" t="s">
        <v>35</v>
      </c>
      <c r="F21" s="238" t="s">
        <v>36</v>
      </c>
      <c r="G21" s="238"/>
      <c r="H21" s="226" t="s">
        <v>37</v>
      </c>
      <c r="I21" s="227"/>
      <c r="J21" s="227"/>
      <c r="K21" s="228"/>
      <c r="L21" s="229">
        <v>342057.87210000004</v>
      </c>
      <c r="M21" s="230"/>
      <c r="O21" s="1"/>
      <c r="Q21" s="56">
        <f>L21/$T$20</f>
        <v>257186.37000000002</v>
      </c>
      <c r="R21" s="56">
        <f>L21-Q21</f>
        <v>84871.502100000012</v>
      </c>
      <c r="S21" s="57" t="str">
        <f>IF(RIGHT(C21,2)="MZ","Muteza",IF(RIGHT(C21,2)="V3","Ve3",""))</f>
        <v>Muteza</v>
      </c>
    </row>
    <row r="22" spans="2:20" ht="53.5" customHeight="1" x14ac:dyDescent="0.35">
      <c r="B22" s="58">
        <f t="shared" ref="B22:B24" si="2">B21+0.01</f>
        <v>1.02</v>
      </c>
      <c r="C22" s="59" t="s">
        <v>38</v>
      </c>
      <c r="D22" s="60" t="s">
        <v>39</v>
      </c>
      <c r="E22" s="61" t="s">
        <v>35</v>
      </c>
      <c r="F22" s="236" t="s">
        <v>40</v>
      </c>
      <c r="G22" s="236"/>
      <c r="H22" s="210" t="s">
        <v>41</v>
      </c>
      <c r="I22" s="211"/>
      <c r="J22" s="211"/>
      <c r="K22" s="212"/>
      <c r="L22" s="213">
        <v>120518.8012</v>
      </c>
      <c r="M22" s="214"/>
      <c r="O22" s="1"/>
      <c r="Q22" s="63">
        <f t="shared" ref="Q22:Q27" si="3">L22/$T$20</f>
        <v>90615.64</v>
      </c>
      <c r="R22" s="63">
        <f>L22-Q22</f>
        <v>29903.161200000002</v>
      </c>
      <c r="S22" s="64" t="str">
        <f t="shared" ref="S22:S27" si="4">IF(RIGHT(C22,2)="MZ","Muteza",IF(RIGHT(C22,2)="V3","Ve3",""))</f>
        <v>Muteza</v>
      </c>
    </row>
    <row r="23" spans="2:20" ht="53" customHeight="1" x14ac:dyDescent="0.35">
      <c r="B23" s="58">
        <f t="shared" si="2"/>
        <v>1.03</v>
      </c>
      <c r="C23" s="59" t="s">
        <v>42</v>
      </c>
      <c r="D23" s="60" t="s">
        <v>43</v>
      </c>
      <c r="E23" s="65" t="s">
        <v>44</v>
      </c>
      <c r="F23" s="237" t="s">
        <v>45</v>
      </c>
      <c r="G23" s="237"/>
      <c r="H23" s="235" t="s">
        <v>46</v>
      </c>
      <c r="I23" s="211"/>
      <c r="J23" s="211"/>
      <c r="K23" s="212"/>
      <c r="L23" s="213">
        <v>46683</v>
      </c>
      <c r="M23" s="214"/>
      <c r="O23" s="1"/>
      <c r="Q23" s="63">
        <f t="shared" si="3"/>
        <v>35100</v>
      </c>
      <c r="R23" s="63">
        <f>L23-Q23</f>
        <v>11583</v>
      </c>
      <c r="S23" s="64" t="str">
        <f t="shared" si="4"/>
        <v>Ve3</v>
      </c>
    </row>
    <row r="24" spans="2:20" ht="31.5" customHeight="1" x14ac:dyDescent="0.35">
      <c r="B24" s="58">
        <f t="shared" si="2"/>
        <v>1.04</v>
      </c>
      <c r="C24" s="59" t="s">
        <v>47</v>
      </c>
      <c r="D24" s="62" t="s">
        <v>48</v>
      </c>
      <c r="E24" s="66" t="s">
        <v>35</v>
      </c>
      <c r="F24" s="234" t="s">
        <v>36</v>
      </c>
      <c r="G24" s="234"/>
      <c r="H24" s="235" t="s">
        <v>49</v>
      </c>
      <c r="I24" s="211"/>
      <c r="J24" s="211"/>
      <c r="K24" s="212"/>
      <c r="L24" s="213">
        <v>58236.962700000004</v>
      </c>
      <c r="M24" s="214"/>
      <c r="O24" s="1"/>
      <c r="Q24" s="63">
        <f t="shared" si="3"/>
        <v>43787.19</v>
      </c>
      <c r="R24" s="63">
        <f>L24-Q24</f>
        <v>14449.772700000001</v>
      </c>
      <c r="S24" s="64" t="str">
        <f t="shared" si="4"/>
        <v>Muteza</v>
      </c>
    </row>
    <row r="25" spans="2:20" x14ac:dyDescent="0.35">
      <c r="B25" s="58"/>
      <c r="C25" s="59"/>
      <c r="D25" s="60"/>
      <c r="E25" s="60"/>
      <c r="F25" s="234"/>
      <c r="G25" s="234"/>
      <c r="H25" s="235"/>
      <c r="I25" s="211"/>
      <c r="J25" s="211"/>
      <c r="K25" s="212"/>
      <c r="L25" s="213"/>
      <c r="M25" s="214"/>
      <c r="O25" s="1"/>
      <c r="Q25" s="63">
        <f t="shared" si="3"/>
        <v>0</v>
      </c>
      <c r="R25" s="63">
        <f>L25-Q25</f>
        <v>0</v>
      </c>
      <c r="S25" s="64" t="str">
        <f t="shared" si="4"/>
        <v/>
      </c>
    </row>
    <row r="26" spans="2:20" x14ac:dyDescent="0.35">
      <c r="B26" s="58"/>
      <c r="C26" s="59"/>
      <c r="D26" s="60"/>
      <c r="E26" s="60"/>
      <c r="F26" s="231"/>
      <c r="G26" s="231"/>
      <c r="H26" s="211"/>
      <c r="I26" s="211"/>
      <c r="J26" s="211"/>
      <c r="K26" s="212"/>
      <c r="L26" s="213"/>
      <c r="M26" s="214"/>
      <c r="O26" s="1"/>
      <c r="Q26" s="63">
        <f t="shared" si="3"/>
        <v>0</v>
      </c>
      <c r="R26" s="63">
        <f t="shared" ref="R26:R27" si="5">L26-Q26</f>
        <v>0</v>
      </c>
      <c r="S26" s="64" t="str">
        <f t="shared" si="4"/>
        <v/>
      </c>
    </row>
    <row r="27" spans="2:20" ht="15" thickBot="1" x14ac:dyDescent="0.4">
      <c r="B27" s="67"/>
      <c r="C27" s="68"/>
      <c r="D27" s="69"/>
      <c r="E27" s="70"/>
      <c r="F27" s="232"/>
      <c r="G27" s="233"/>
      <c r="H27" s="218"/>
      <c r="I27" s="219"/>
      <c r="J27" s="219"/>
      <c r="K27" s="220"/>
      <c r="L27" s="221"/>
      <c r="M27" s="222"/>
      <c r="O27" s="1"/>
      <c r="Q27" s="63">
        <f t="shared" si="3"/>
        <v>0</v>
      </c>
      <c r="R27" s="71">
        <f t="shared" si="5"/>
        <v>0</v>
      </c>
      <c r="S27" s="72" t="str">
        <f t="shared" si="4"/>
        <v/>
      </c>
    </row>
    <row r="28" spans="2:20" ht="6" customHeight="1" thickBot="1" x14ac:dyDescent="0.4">
      <c r="B28" s="73"/>
      <c r="C28" s="73"/>
      <c r="D28" s="74"/>
      <c r="E28" s="74"/>
      <c r="F28" s="75"/>
      <c r="G28" s="75"/>
      <c r="H28" s="76"/>
      <c r="I28" s="76"/>
      <c r="J28" s="76"/>
      <c r="K28" s="76"/>
      <c r="L28" s="77"/>
      <c r="M28" s="77"/>
      <c r="O28" s="1"/>
      <c r="Q28" s="72"/>
      <c r="R28" s="78"/>
      <c r="S28" s="72"/>
    </row>
    <row r="29" spans="2:20" ht="15" thickBot="1" x14ac:dyDescent="0.4">
      <c r="B29" s="45">
        <v>2</v>
      </c>
      <c r="C29" s="79" t="s">
        <v>29</v>
      </c>
      <c r="D29" s="46" t="s">
        <v>50</v>
      </c>
      <c r="E29" s="148" t="s">
        <v>31</v>
      </c>
      <c r="F29" s="148"/>
      <c r="G29" s="148"/>
      <c r="H29" s="149"/>
      <c r="I29" s="149"/>
      <c r="J29" s="149"/>
      <c r="K29" s="149"/>
      <c r="L29" s="150">
        <f>SUM(L30:M38)</f>
        <v>74413.2</v>
      </c>
      <c r="M29" s="151"/>
      <c r="O29" s="1"/>
      <c r="Q29" s="48">
        <f>SUM(Q30:Q38)</f>
        <v>62011</v>
      </c>
      <c r="R29" s="48">
        <f>SUM(R30:R38)</f>
        <v>12402.199999999995</v>
      </c>
      <c r="S29" s="49"/>
      <c r="T29" s="50">
        <v>1.2</v>
      </c>
    </row>
    <row r="30" spans="2:20" ht="25.5" customHeight="1" x14ac:dyDescent="0.35">
      <c r="B30" s="80">
        <f>B29+0.01</f>
        <v>2.0099999999999998</v>
      </c>
      <c r="C30" s="81" t="s">
        <v>51</v>
      </c>
      <c r="D30" s="55" t="s">
        <v>52</v>
      </c>
      <c r="E30" s="223" t="s">
        <v>53</v>
      </c>
      <c r="F30" s="224"/>
      <c r="G30" s="225"/>
      <c r="H30" s="226" t="s">
        <v>54</v>
      </c>
      <c r="I30" s="227"/>
      <c r="J30" s="227"/>
      <c r="K30" s="228"/>
      <c r="L30" s="229">
        <v>4950</v>
      </c>
      <c r="M30" s="230"/>
      <c r="O30" s="1"/>
      <c r="Q30" s="56">
        <f>L30/$T$29</f>
        <v>4125</v>
      </c>
      <c r="R30" s="56">
        <f t="shared" ref="R30:R38" si="6">L30-Q30</f>
        <v>825</v>
      </c>
      <c r="S30" s="57" t="s">
        <v>55</v>
      </c>
    </row>
    <row r="31" spans="2:20" ht="25.5" customHeight="1" x14ac:dyDescent="0.35">
      <c r="B31" s="58">
        <f t="shared" ref="B31:B35" si="7">B30+0.01</f>
        <v>2.0199999999999996</v>
      </c>
      <c r="C31" s="82" t="s">
        <v>56</v>
      </c>
      <c r="D31" s="60" t="s">
        <v>57</v>
      </c>
      <c r="E31" s="207" t="s">
        <v>58</v>
      </c>
      <c r="F31" s="208"/>
      <c r="G31" s="209"/>
      <c r="H31" s="210" t="s">
        <v>59</v>
      </c>
      <c r="I31" s="211"/>
      <c r="J31" s="211"/>
      <c r="K31" s="212"/>
      <c r="L31" s="213">
        <v>1330.8</v>
      </c>
      <c r="M31" s="214"/>
      <c r="O31" s="1"/>
      <c r="Q31" s="63">
        <f t="shared" ref="Q31:Q38" si="8">L31/$T$29</f>
        <v>1109</v>
      </c>
      <c r="R31" s="63">
        <f t="shared" si="6"/>
        <v>221.79999999999995</v>
      </c>
      <c r="S31" s="57" t="s">
        <v>55</v>
      </c>
    </row>
    <row r="32" spans="2:20" ht="25.5" customHeight="1" x14ac:dyDescent="0.35">
      <c r="B32" s="58">
        <f t="shared" si="7"/>
        <v>2.0299999999999994</v>
      </c>
      <c r="C32" s="82" t="s">
        <v>60</v>
      </c>
      <c r="D32" s="60" t="s">
        <v>61</v>
      </c>
      <c r="E32" s="207" t="s">
        <v>62</v>
      </c>
      <c r="F32" s="208"/>
      <c r="G32" s="209"/>
      <c r="H32" s="210" t="s">
        <v>63</v>
      </c>
      <c r="I32" s="211"/>
      <c r="J32" s="211"/>
      <c r="K32" s="212"/>
      <c r="L32" s="213">
        <v>9658.7999999999993</v>
      </c>
      <c r="M32" s="214"/>
      <c r="O32" s="1"/>
      <c r="Q32" s="63">
        <f t="shared" si="8"/>
        <v>8049</v>
      </c>
      <c r="R32" s="63">
        <f t="shared" si="6"/>
        <v>1609.7999999999993</v>
      </c>
      <c r="S32" s="57" t="s">
        <v>55</v>
      </c>
    </row>
    <row r="33" spans="2:20" ht="25.5" customHeight="1" x14ac:dyDescent="0.35">
      <c r="B33" s="58">
        <f t="shared" si="7"/>
        <v>2.0399999999999991</v>
      </c>
      <c r="C33" s="82" t="s">
        <v>64</v>
      </c>
      <c r="D33" s="60" t="s">
        <v>65</v>
      </c>
      <c r="E33" s="207" t="s">
        <v>66</v>
      </c>
      <c r="F33" s="208"/>
      <c r="G33" s="209"/>
      <c r="H33" s="210" t="s">
        <v>67</v>
      </c>
      <c r="I33" s="211"/>
      <c r="J33" s="211"/>
      <c r="K33" s="212"/>
      <c r="L33" s="213">
        <v>11602.8</v>
      </c>
      <c r="M33" s="214"/>
      <c r="O33" s="1"/>
      <c r="Q33" s="63">
        <f t="shared" si="8"/>
        <v>9669</v>
      </c>
      <c r="R33" s="63">
        <f t="shared" si="6"/>
        <v>1933.7999999999993</v>
      </c>
      <c r="S33" s="57" t="s">
        <v>55</v>
      </c>
    </row>
    <row r="34" spans="2:20" ht="25.5" customHeight="1" x14ac:dyDescent="0.35">
      <c r="B34" s="58">
        <f t="shared" si="7"/>
        <v>2.0499999999999989</v>
      </c>
      <c r="C34" s="82" t="s">
        <v>68</v>
      </c>
      <c r="D34" s="60" t="s">
        <v>69</v>
      </c>
      <c r="E34" s="207" t="s">
        <v>70</v>
      </c>
      <c r="F34" s="208"/>
      <c r="G34" s="209"/>
      <c r="H34" s="210" t="s">
        <v>71</v>
      </c>
      <c r="I34" s="211"/>
      <c r="J34" s="211"/>
      <c r="K34" s="212"/>
      <c r="L34" s="213">
        <v>13078.8</v>
      </c>
      <c r="M34" s="214"/>
      <c r="O34" s="1"/>
      <c r="Q34" s="63">
        <f t="shared" si="8"/>
        <v>10899</v>
      </c>
      <c r="R34" s="63">
        <f t="shared" si="6"/>
        <v>2179.7999999999993</v>
      </c>
      <c r="S34" s="57" t="s">
        <v>55</v>
      </c>
    </row>
    <row r="35" spans="2:20" ht="25.5" customHeight="1" x14ac:dyDescent="0.35">
      <c r="B35" s="58">
        <f t="shared" si="7"/>
        <v>2.0599999999999987</v>
      </c>
      <c r="C35" s="82" t="s">
        <v>72</v>
      </c>
      <c r="D35" s="60" t="s">
        <v>73</v>
      </c>
      <c r="E35" s="207" t="s">
        <v>74</v>
      </c>
      <c r="F35" s="208"/>
      <c r="G35" s="209"/>
      <c r="H35" s="210" t="s">
        <v>75</v>
      </c>
      <c r="I35" s="211"/>
      <c r="J35" s="211"/>
      <c r="K35" s="212"/>
      <c r="L35" s="213">
        <v>22918.799999999999</v>
      </c>
      <c r="M35" s="214"/>
      <c r="O35" s="1"/>
      <c r="Q35" s="63">
        <f t="shared" si="8"/>
        <v>19099</v>
      </c>
      <c r="R35" s="63">
        <f t="shared" si="6"/>
        <v>3819.7999999999993</v>
      </c>
      <c r="S35" s="57" t="s">
        <v>55</v>
      </c>
    </row>
    <row r="36" spans="2:20" ht="25.5" customHeight="1" x14ac:dyDescent="0.35">
      <c r="B36" s="83">
        <v>2.0699999999999985</v>
      </c>
      <c r="C36" s="84" t="s">
        <v>76</v>
      </c>
      <c r="D36" s="62" t="s">
        <v>77</v>
      </c>
      <c r="E36" s="207" t="s">
        <v>53</v>
      </c>
      <c r="F36" s="208"/>
      <c r="G36" s="209"/>
      <c r="H36" s="210" t="s">
        <v>78</v>
      </c>
      <c r="I36" s="211"/>
      <c r="J36" s="211"/>
      <c r="K36" s="212"/>
      <c r="L36" s="213">
        <v>10873.199999999999</v>
      </c>
      <c r="M36" s="214"/>
      <c r="O36" s="1"/>
      <c r="Q36" s="63">
        <f t="shared" si="8"/>
        <v>9061</v>
      </c>
      <c r="R36" s="63">
        <f t="shared" si="6"/>
        <v>1812.1999999999989</v>
      </c>
      <c r="S36" s="57" t="s">
        <v>55</v>
      </c>
    </row>
    <row r="37" spans="2:20" x14ac:dyDescent="0.35">
      <c r="B37" s="83"/>
      <c r="C37" s="84"/>
      <c r="D37" s="62"/>
      <c r="E37" s="207"/>
      <c r="F37" s="208"/>
      <c r="G37" s="209"/>
      <c r="H37" s="210"/>
      <c r="I37" s="211"/>
      <c r="J37" s="211"/>
      <c r="K37" s="212"/>
      <c r="L37" s="213"/>
      <c r="M37" s="214"/>
      <c r="O37" s="1"/>
      <c r="Q37" s="63">
        <f t="shared" si="8"/>
        <v>0</v>
      </c>
      <c r="R37" s="63">
        <f t="shared" si="6"/>
        <v>0</v>
      </c>
      <c r="S37" s="57" t="s">
        <v>55</v>
      </c>
    </row>
    <row r="38" spans="2:20" ht="15" thickBot="1" x14ac:dyDescent="0.4">
      <c r="B38" s="67"/>
      <c r="C38" s="85"/>
      <c r="D38" s="69"/>
      <c r="E38" s="215"/>
      <c r="F38" s="216"/>
      <c r="G38" s="217"/>
      <c r="H38" s="218"/>
      <c r="I38" s="219"/>
      <c r="J38" s="219"/>
      <c r="K38" s="220"/>
      <c r="L38" s="221"/>
      <c r="M38" s="222"/>
      <c r="O38" s="1"/>
      <c r="Q38" s="63">
        <f t="shared" si="8"/>
        <v>0</v>
      </c>
      <c r="R38" s="63">
        <f t="shared" si="6"/>
        <v>0</v>
      </c>
      <c r="S38" s="57" t="s">
        <v>55</v>
      </c>
    </row>
    <row r="39" spans="2:20" ht="6" customHeight="1" thickBot="1" x14ac:dyDescent="0.4">
      <c r="B39" s="73"/>
      <c r="C39" s="73"/>
      <c r="D39" s="74"/>
      <c r="E39" s="74"/>
      <c r="F39" s="74"/>
      <c r="G39" s="74"/>
      <c r="H39" s="86"/>
      <c r="I39" s="86"/>
      <c r="J39" s="86"/>
      <c r="K39" s="86"/>
      <c r="L39" s="77"/>
      <c r="M39" s="77"/>
      <c r="O39" s="1"/>
      <c r="Q39" s="72"/>
      <c r="R39" s="72"/>
      <c r="S39" s="72"/>
    </row>
    <row r="40" spans="2:20" ht="15" thickBot="1" x14ac:dyDescent="0.4">
      <c r="B40" s="45">
        <v>3</v>
      </c>
      <c r="C40" s="79" t="s">
        <v>29</v>
      </c>
      <c r="D40" s="46" t="s">
        <v>79</v>
      </c>
      <c r="E40" s="47"/>
      <c r="F40" s="148"/>
      <c r="G40" s="148"/>
      <c r="H40" s="148"/>
      <c r="I40" s="148"/>
      <c r="J40" s="148"/>
      <c r="K40" s="47" t="s">
        <v>80</v>
      </c>
      <c r="L40" s="150">
        <f>SUM(L41:M54)</f>
        <v>35487.459000000003</v>
      </c>
      <c r="M40" s="151"/>
      <c r="O40" s="1"/>
      <c r="Q40" s="48">
        <f>SUM(Q41:Q54)</f>
        <v>18677.609999999997</v>
      </c>
      <c r="R40" s="48">
        <f>SUM(R41:R54)</f>
        <v>16809.848999999998</v>
      </c>
      <c r="S40" s="49"/>
      <c r="T40" s="50">
        <v>1.9</v>
      </c>
    </row>
    <row r="41" spans="2:20" x14ac:dyDescent="0.35">
      <c r="B41" s="87">
        <f>B40+0.01</f>
        <v>3.01</v>
      </c>
      <c r="C41" s="88" t="s">
        <v>81</v>
      </c>
      <c r="D41" s="55" t="s">
        <v>61</v>
      </c>
      <c r="E41" s="55" t="s">
        <v>82</v>
      </c>
      <c r="F41" s="202" t="s">
        <v>83</v>
      </c>
      <c r="G41" s="203"/>
      <c r="H41" s="203"/>
      <c r="I41" s="203"/>
      <c r="J41" s="204"/>
      <c r="K41" s="89"/>
      <c r="L41" s="205">
        <v>1568.8679999999999</v>
      </c>
      <c r="M41" s="206"/>
      <c r="O41" s="1"/>
      <c r="Q41" s="56">
        <f>L41/$T$40</f>
        <v>825.72</v>
      </c>
      <c r="R41" s="56">
        <f t="shared" ref="R41:R61" si="9">L41-Q41</f>
        <v>743.14799999999991</v>
      </c>
      <c r="S41" s="57" t="s">
        <v>4</v>
      </c>
    </row>
    <row r="42" spans="2:20" x14ac:dyDescent="0.35">
      <c r="B42" s="90">
        <f t="shared" ref="B42:B53" si="10">B41+0.01</f>
        <v>3.0199999999999996</v>
      </c>
      <c r="C42" s="91" t="s">
        <v>84</v>
      </c>
      <c r="D42" s="60" t="s">
        <v>61</v>
      </c>
      <c r="E42" s="60" t="s">
        <v>85</v>
      </c>
      <c r="F42" s="171" t="s">
        <v>86</v>
      </c>
      <c r="G42" s="172"/>
      <c r="H42" s="172"/>
      <c r="I42" s="172"/>
      <c r="J42" s="173"/>
      <c r="K42" s="95"/>
      <c r="L42" s="192">
        <v>988.58899999999983</v>
      </c>
      <c r="M42" s="193"/>
      <c r="O42" s="1"/>
      <c r="Q42" s="56">
        <f t="shared" ref="Q42:Q54" si="11">L42/$T$40</f>
        <v>520.30999999999995</v>
      </c>
      <c r="R42" s="63">
        <f t="shared" si="9"/>
        <v>468.27899999999988</v>
      </c>
      <c r="S42" s="64" t="s">
        <v>4</v>
      </c>
    </row>
    <row r="43" spans="2:20" x14ac:dyDescent="0.35">
      <c r="B43" s="90">
        <f t="shared" si="10"/>
        <v>3.0299999999999994</v>
      </c>
      <c r="C43" s="88" t="s">
        <v>87</v>
      </c>
      <c r="D43" s="55" t="s">
        <v>69</v>
      </c>
      <c r="E43" s="55" t="s">
        <v>82</v>
      </c>
      <c r="F43" s="171" t="s">
        <v>88</v>
      </c>
      <c r="G43" s="172"/>
      <c r="H43" s="172"/>
      <c r="I43" s="172"/>
      <c r="J43" s="173"/>
      <c r="K43" s="95"/>
      <c r="L43" s="192">
        <v>1347.6889999999999</v>
      </c>
      <c r="M43" s="193"/>
      <c r="O43" s="1"/>
      <c r="Q43" s="56">
        <f t="shared" si="11"/>
        <v>709.31</v>
      </c>
      <c r="R43" s="63">
        <f t="shared" si="9"/>
        <v>638.37899999999991</v>
      </c>
      <c r="S43" s="64" t="s">
        <v>4</v>
      </c>
    </row>
    <row r="44" spans="2:20" x14ac:dyDescent="0.35">
      <c r="B44" s="90">
        <f t="shared" si="10"/>
        <v>3.0399999999999991</v>
      </c>
      <c r="C44" s="91" t="s">
        <v>89</v>
      </c>
      <c r="D44" s="60" t="s">
        <v>69</v>
      </c>
      <c r="E44" s="60" t="s">
        <v>85</v>
      </c>
      <c r="F44" s="171" t="s">
        <v>90</v>
      </c>
      <c r="G44" s="172"/>
      <c r="H44" s="172"/>
      <c r="I44" s="172"/>
      <c r="J44" s="173"/>
      <c r="K44" s="95"/>
      <c r="L44" s="192">
        <v>1238.6289999999999</v>
      </c>
      <c r="M44" s="193"/>
      <c r="O44" s="1"/>
      <c r="Q44" s="56">
        <f t="shared" si="11"/>
        <v>651.91</v>
      </c>
      <c r="R44" s="63">
        <f t="shared" si="9"/>
        <v>586.71899999999994</v>
      </c>
      <c r="S44" s="64" t="s">
        <v>4</v>
      </c>
    </row>
    <row r="45" spans="2:20" x14ac:dyDescent="0.35">
      <c r="B45" s="90">
        <f t="shared" si="10"/>
        <v>3.0499999999999989</v>
      </c>
      <c r="C45" s="88" t="s">
        <v>91</v>
      </c>
      <c r="D45" s="55" t="s">
        <v>77</v>
      </c>
      <c r="E45" s="55" t="s">
        <v>82</v>
      </c>
      <c r="F45" s="171" t="s">
        <v>92</v>
      </c>
      <c r="G45" s="172"/>
      <c r="H45" s="172"/>
      <c r="I45" s="172"/>
      <c r="J45" s="173"/>
      <c r="K45" s="95"/>
      <c r="L45" s="192">
        <v>1483.482</v>
      </c>
      <c r="M45" s="193"/>
      <c r="O45" s="1"/>
      <c r="Q45" s="56">
        <f t="shared" si="11"/>
        <v>780.78</v>
      </c>
      <c r="R45" s="63">
        <f t="shared" si="9"/>
        <v>702.702</v>
      </c>
      <c r="S45" s="64" t="s">
        <v>4</v>
      </c>
    </row>
    <row r="46" spans="2:20" x14ac:dyDescent="0.35">
      <c r="B46" s="90">
        <f t="shared" si="10"/>
        <v>3.0599999999999987</v>
      </c>
      <c r="C46" s="91" t="s">
        <v>93</v>
      </c>
      <c r="D46" s="60" t="s">
        <v>77</v>
      </c>
      <c r="E46" s="60" t="s">
        <v>85</v>
      </c>
      <c r="F46" s="171" t="s">
        <v>94</v>
      </c>
      <c r="G46" s="172"/>
      <c r="H46" s="172"/>
      <c r="I46" s="172"/>
      <c r="J46" s="173"/>
      <c r="K46" s="95"/>
      <c r="L46" s="192">
        <v>904.5329999999999</v>
      </c>
      <c r="M46" s="193"/>
      <c r="O46" s="1"/>
      <c r="Q46" s="56">
        <f t="shared" si="11"/>
        <v>476.07</v>
      </c>
      <c r="R46" s="63">
        <f t="shared" si="9"/>
        <v>428.46299999999991</v>
      </c>
      <c r="S46" s="64" t="s">
        <v>4</v>
      </c>
    </row>
    <row r="47" spans="2:20" x14ac:dyDescent="0.35">
      <c r="B47" s="90">
        <f t="shared" si="10"/>
        <v>3.0699999999999985</v>
      </c>
      <c r="C47" s="88" t="s">
        <v>95</v>
      </c>
      <c r="D47" s="55" t="s">
        <v>96</v>
      </c>
      <c r="E47" s="55" t="s">
        <v>82</v>
      </c>
      <c r="F47" s="171" t="s">
        <v>97</v>
      </c>
      <c r="G47" s="172"/>
      <c r="H47" s="172"/>
      <c r="I47" s="172"/>
      <c r="J47" s="173"/>
      <c r="K47" s="95"/>
      <c r="L47" s="192">
        <v>1557.924</v>
      </c>
      <c r="M47" s="193"/>
      <c r="O47" s="1"/>
      <c r="Q47" s="56">
        <f t="shared" si="11"/>
        <v>819.96</v>
      </c>
      <c r="R47" s="63">
        <f t="shared" si="9"/>
        <v>737.96399999999994</v>
      </c>
      <c r="S47" s="64" t="s">
        <v>4</v>
      </c>
    </row>
    <row r="48" spans="2:20" x14ac:dyDescent="0.35">
      <c r="B48" s="90">
        <f t="shared" si="10"/>
        <v>3.0799999999999983</v>
      </c>
      <c r="C48" s="91" t="s">
        <v>98</v>
      </c>
      <c r="D48" s="60" t="s">
        <v>96</v>
      </c>
      <c r="E48" s="60" t="s">
        <v>85</v>
      </c>
      <c r="F48" s="171" t="s">
        <v>99</v>
      </c>
      <c r="G48" s="172"/>
      <c r="H48" s="172"/>
      <c r="I48" s="172"/>
      <c r="J48" s="173"/>
      <c r="K48" s="95"/>
      <c r="L48" s="192">
        <v>949.75299999999993</v>
      </c>
      <c r="M48" s="193"/>
      <c r="O48" s="1"/>
      <c r="Q48" s="56">
        <f t="shared" si="11"/>
        <v>499.87</v>
      </c>
      <c r="R48" s="63">
        <f t="shared" si="9"/>
        <v>449.88299999999992</v>
      </c>
      <c r="S48" s="64" t="s">
        <v>4</v>
      </c>
    </row>
    <row r="49" spans="2:20" x14ac:dyDescent="0.35">
      <c r="B49" s="90">
        <f t="shared" si="10"/>
        <v>3.0899999999999981</v>
      </c>
      <c r="C49" s="91" t="s">
        <v>100</v>
      </c>
      <c r="D49" s="60" t="s">
        <v>101</v>
      </c>
      <c r="E49" s="60" t="s">
        <v>102</v>
      </c>
      <c r="F49" s="171" t="s">
        <v>103</v>
      </c>
      <c r="G49" s="172"/>
      <c r="H49" s="172"/>
      <c r="I49" s="172"/>
      <c r="J49" s="173"/>
      <c r="K49" s="96">
        <v>4</v>
      </c>
      <c r="L49" s="200">
        <v>15561.151999999998</v>
      </c>
      <c r="M49" s="201"/>
      <c r="O49" s="1"/>
      <c r="Q49" s="56">
        <f t="shared" si="11"/>
        <v>8190.079999999999</v>
      </c>
      <c r="R49" s="63">
        <f t="shared" si="9"/>
        <v>7371.0719999999992</v>
      </c>
      <c r="S49" s="64" t="s">
        <v>4</v>
      </c>
    </row>
    <row r="50" spans="2:20" x14ac:dyDescent="0.35">
      <c r="B50" s="90">
        <f t="shared" si="10"/>
        <v>3.0999999999999979</v>
      </c>
      <c r="C50" s="88" t="s">
        <v>104</v>
      </c>
      <c r="D50" s="55" t="s">
        <v>65</v>
      </c>
      <c r="E50" s="55" t="s">
        <v>82</v>
      </c>
      <c r="F50" s="171" t="s">
        <v>105</v>
      </c>
      <c r="G50" s="172"/>
      <c r="H50" s="172"/>
      <c r="I50" s="172"/>
      <c r="J50" s="173"/>
      <c r="K50" s="95"/>
      <c r="L50" s="192">
        <v>0</v>
      </c>
      <c r="M50" s="193"/>
      <c r="O50" s="1"/>
      <c r="Q50" s="56">
        <f t="shared" si="11"/>
        <v>0</v>
      </c>
      <c r="R50" s="63">
        <f t="shared" si="9"/>
        <v>0</v>
      </c>
      <c r="S50" s="64" t="s">
        <v>4</v>
      </c>
    </row>
    <row r="51" spans="2:20" x14ac:dyDescent="0.35">
      <c r="B51" s="90">
        <f t="shared" si="10"/>
        <v>3.1099999999999977</v>
      </c>
      <c r="C51" s="88" t="s">
        <v>106</v>
      </c>
      <c r="D51" s="55" t="s">
        <v>107</v>
      </c>
      <c r="E51" s="55" t="s">
        <v>108</v>
      </c>
      <c r="F51" s="171" t="s">
        <v>109</v>
      </c>
      <c r="G51" s="172"/>
      <c r="H51" s="172"/>
      <c r="I51" s="172"/>
      <c r="J51" s="173"/>
      <c r="K51" s="95"/>
      <c r="L51" s="192">
        <v>3022.2159999999999</v>
      </c>
      <c r="M51" s="193"/>
      <c r="O51" s="1"/>
      <c r="Q51" s="56">
        <f t="shared" si="11"/>
        <v>1590.64</v>
      </c>
      <c r="R51" s="63">
        <f t="shared" si="9"/>
        <v>1431.5759999999998</v>
      </c>
      <c r="S51" s="64" t="s">
        <v>4</v>
      </c>
    </row>
    <row r="52" spans="2:20" x14ac:dyDescent="0.35">
      <c r="B52" s="90">
        <f t="shared" si="10"/>
        <v>3.1199999999999974</v>
      </c>
      <c r="C52" s="91" t="s">
        <v>110</v>
      </c>
      <c r="D52" s="60" t="s">
        <v>107</v>
      </c>
      <c r="E52" s="60" t="s">
        <v>111</v>
      </c>
      <c r="F52" s="92" t="s">
        <v>112</v>
      </c>
      <c r="G52" s="93"/>
      <c r="H52" s="93"/>
      <c r="I52" s="93"/>
      <c r="J52" s="94"/>
      <c r="K52" s="96">
        <v>4</v>
      </c>
      <c r="L52" s="192">
        <v>4641.6239999999998</v>
      </c>
      <c r="M52" s="193"/>
      <c r="O52" s="1"/>
      <c r="Q52" s="56">
        <f t="shared" si="11"/>
        <v>2442.96</v>
      </c>
      <c r="R52" s="63">
        <f t="shared" si="9"/>
        <v>2198.6639999999998</v>
      </c>
      <c r="S52" s="64" t="s">
        <v>4</v>
      </c>
    </row>
    <row r="53" spans="2:20" x14ac:dyDescent="0.35">
      <c r="B53" s="90">
        <f t="shared" si="10"/>
        <v>3.1299999999999972</v>
      </c>
      <c r="C53" s="91" t="s">
        <v>113</v>
      </c>
      <c r="D53" s="60" t="s">
        <v>107</v>
      </c>
      <c r="E53" s="60" t="s">
        <v>114</v>
      </c>
      <c r="F53" s="92" t="s">
        <v>115</v>
      </c>
      <c r="G53" s="93"/>
      <c r="H53" s="93"/>
      <c r="I53" s="93"/>
      <c r="J53" s="94"/>
      <c r="K53" s="96"/>
      <c r="L53" s="192">
        <v>2223</v>
      </c>
      <c r="M53" s="193"/>
      <c r="O53" s="1"/>
      <c r="Q53" s="56">
        <f t="shared" si="11"/>
        <v>1170</v>
      </c>
      <c r="R53" s="63">
        <f t="shared" si="9"/>
        <v>1053</v>
      </c>
      <c r="S53" s="64" t="s">
        <v>4</v>
      </c>
    </row>
    <row r="54" spans="2:20" ht="15" thickBot="1" x14ac:dyDescent="0.4">
      <c r="B54" s="97"/>
      <c r="C54" s="98"/>
      <c r="D54" s="99"/>
      <c r="E54" s="99"/>
      <c r="F54" s="194"/>
      <c r="G54" s="195"/>
      <c r="H54" s="195"/>
      <c r="I54" s="195"/>
      <c r="J54" s="196"/>
      <c r="K54" s="100"/>
      <c r="L54" s="197"/>
      <c r="M54" s="198"/>
      <c r="O54" s="1"/>
      <c r="Q54" s="56">
        <f t="shared" si="11"/>
        <v>0</v>
      </c>
      <c r="R54" s="63">
        <f t="shared" si="9"/>
        <v>0</v>
      </c>
      <c r="S54" s="64" t="s">
        <v>4</v>
      </c>
    </row>
    <row r="55" spans="2:20" ht="6" customHeight="1" thickBot="1" x14ac:dyDescent="0.4">
      <c r="B55" s="101"/>
      <c r="C55" s="101"/>
      <c r="D55" s="74"/>
      <c r="E55" s="74"/>
      <c r="F55" s="102"/>
      <c r="G55" s="102"/>
      <c r="H55" s="102"/>
      <c r="I55" s="102"/>
      <c r="J55" s="102"/>
      <c r="K55" s="102"/>
      <c r="O55" s="1"/>
      <c r="Q55" s="72"/>
      <c r="R55" s="72"/>
      <c r="S55" s="72"/>
    </row>
    <row r="56" spans="2:20" ht="15" thickBot="1" x14ac:dyDescent="0.4">
      <c r="B56" s="45">
        <v>4</v>
      </c>
      <c r="C56" s="79" t="s">
        <v>29</v>
      </c>
      <c r="D56" s="46" t="s">
        <v>116</v>
      </c>
      <c r="E56" s="148" t="s">
        <v>117</v>
      </c>
      <c r="F56" s="148"/>
      <c r="G56" s="148"/>
      <c r="H56" s="199"/>
      <c r="I56" s="199"/>
      <c r="J56" s="199"/>
      <c r="K56" s="199"/>
      <c r="L56" s="150">
        <f>SUM(L57:M61)</f>
        <v>27723.597300000001</v>
      </c>
      <c r="M56" s="151"/>
      <c r="O56" s="1"/>
      <c r="Q56" s="48">
        <f>SUM(Q57:Q61)</f>
        <v>20844.810000000001</v>
      </c>
      <c r="R56" s="48">
        <f>SUM(R57:R61)</f>
        <v>6878.7873000000018</v>
      </c>
      <c r="S56" s="49"/>
      <c r="T56" s="50">
        <v>1.33</v>
      </c>
    </row>
    <row r="57" spans="2:20" x14ac:dyDescent="0.35">
      <c r="B57" s="87">
        <f>B56+0.01</f>
        <v>4.01</v>
      </c>
      <c r="C57" s="88" t="s">
        <v>118</v>
      </c>
      <c r="D57" s="103" t="s">
        <v>119</v>
      </c>
      <c r="E57" s="188" t="s">
        <v>120</v>
      </c>
      <c r="F57" s="188"/>
      <c r="G57" s="188"/>
      <c r="H57" s="189" t="s">
        <v>121</v>
      </c>
      <c r="I57" s="189"/>
      <c r="J57" s="189"/>
      <c r="K57" s="189"/>
      <c r="L57" s="190">
        <v>10380.118</v>
      </c>
      <c r="M57" s="191"/>
      <c r="O57" s="1"/>
      <c r="Q57" s="56">
        <f>L57/$T$56</f>
        <v>7804.5999999999995</v>
      </c>
      <c r="R57" s="56">
        <f t="shared" si="9"/>
        <v>2575.5180000000009</v>
      </c>
      <c r="S57" s="57" t="s">
        <v>5</v>
      </c>
    </row>
    <row r="58" spans="2:20" x14ac:dyDescent="0.35">
      <c r="B58" s="90">
        <f t="shared" ref="B58:B60" si="12">B57+0.01</f>
        <v>4.0199999999999996</v>
      </c>
      <c r="C58" s="91" t="s">
        <v>122</v>
      </c>
      <c r="D58" s="104" t="s">
        <v>119</v>
      </c>
      <c r="E58" s="152" t="s">
        <v>123</v>
      </c>
      <c r="F58" s="152"/>
      <c r="G58" s="152"/>
      <c r="H58" s="153" t="s">
        <v>124</v>
      </c>
      <c r="I58" s="153"/>
      <c r="J58" s="153"/>
      <c r="K58" s="153"/>
      <c r="L58" s="186">
        <v>12543.269900000001</v>
      </c>
      <c r="M58" s="187"/>
      <c r="O58" s="1"/>
      <c r="Q58" s="56">
        <f t="shared" ref="Q58:Q61" si="13">L58/$T$56</f>
        <v>9431.0300000000007</v>
      </c>
      <c r="R58" s="63">
        <f t="shared" si="9"/>
        <v>3112.2399000000005</v>
      </c>
      <c r="S58" s="64" t="s">
        <v>5</v>
      </c>
    </row>
    <row r="59" spans="2:20" x14ac:dyDescent="0.35">
      <c r="B59" s="90">
        <f t="shared" si="12"/>
        <v>4.0299999999999994</v>
      </c>
      <c r="C59" s="91" t="s">
        <v>125</v>
      </c>
      <c r="D59" s="104" t="s">
        <v>126</v>
      </c>
      <c r="E59" s="152" t="s">
        <v>120</v>
      </c>
      <c r="F59" s="152"/>
      <c r="G59" s="152"/>
      <c r="H59" s="153" t="s">
        <v>127</v>
      </c>
      <c r="I59" s="153"/>
      <c r="J59" s="153"/>
      <c r="K59" s="153"/>
      <c r="L59" s="186">
        <v>2400.1046999999999</v>
      </c>
      <c r="M59" s="187"/>
      <c r="O59" s="1"/>
      <c r="Q59" s="56">
        <f t="shared" si="13"/>
        <v>1804.5899999999997</v>
      </c>
      <c r="R59" s="63">
        <f t="shared" si="9"/>
        <v>595.51470000000018</v>
      </c>
      <c r="S59" s="64" t="s">
        <v>5</v>
      </c>
    </row>
    <row r="60" spans="2:20" x14ac:dyDescent="0.35">
      <c r="B60" s="90">
        <f t="shared" si="12"/>
        <v>4.0399999999999991</v>
      </c>
      <c r="C60" s="91" t="s">
        <v>128</v>
      </c>
      <c r="D60" s="104" t="s">
        <v>126</v>
      </c>
      <c r="E60" s="152" t="s">
        <v>123</v>
      </c>
      <c r="F60" s="152"/>
      <c r="G60" s="152"/>
      <c r="H60" s="153" t="s">
        <v>127</v>
      </c>
      <c r="I60" s="153"/>
      <c r="J60" s="153"/>
      <c r="K60" s="153"/>
      <c r="L60" s="186">
        <v>2400.1046999999999</v>
      </c>
      <c r="M60" s="187"/>
      <c r="O60" s="1"/>
      <c r="Q60" s="56">
        <f t="shared" si="13"/>
        <v>1804.5899999999997</v>
      </c>
      <c r="R60" s="63">
        <f t="shared" si="9"/>
        <v>595.51470000000018</v>
      </c>
      <c r="S60" s="64" t="s">
        <v>5</v>
      </c>
    </row>
    <row r="61" spans="2:20" ht="15" thickBot="1" x14ac:dyDescent="0.4">
      <c r="B61" s="97"/>
      <c r="C61" s="105"/>
      <c r="D61" s="106"/>
      <c r="E61" s="147"/>
      <c r="F61" s="147"/>
      <c r="G61" s="147"/>
      <c r="H61" s="140"/>
      <c r="I61" s="140"/>
      <c r="J61" s="140"/>
      <c r="K61" s="140"/>
      <c r="L61" s="184"/>
      <c r="M61" s="185"/>
      <c r="O61" s="1"/>
      <c r="Q61" s="56">
        <f t="shared" si="13"/>
        <v>0</v>
      </c>
      <c r="R61" s="63">
        <f t="shared" si="9"/>
        <v>0</v>
      </c>
      <c r="S61" s="64" t="s">
        <v>5</v>
      </c>
    </row>
    <row r="62" spans="2:20" ht="6" customHeight="1" thickBot="1" x14ac:dyDescent="0.4">
      <c r="D62" s="102"/>
      <c r="E62" s="102"/>
      <c r="F62" s="102"/>
      <c r="G62" s="102"/>
      <c r="H62" s="107"/>
      <c r="I62" s="107"/>
      <c r="J62" s="107"/>
      <c r="K62" s="107"/>
      <c r="O62" s="1"/>
      <c r="Q62" s="72"/>
      <c r="R62" s="72"/>
      <c r="S62" s="72"/>
    </row>
    <row r="63" spans="2:20" ht="15" thickBot="1" x14ac:dyDescent="0.4">
      <c r="B63" s="45">
        <v>5</v>
      </c>
      <c r="C63" s="79" t="s">
        <v>29</v>
      </c>
      <c r="D63" s="46" t="s">
        <v>129</v>
      </c>
      <c r="E63" s="148" t="s">
        <v>117</v>
      </c>
      <c r="F63" s="148"/>
      <c r="G63" s="148"/>
      <c r="H63" s="149"/>
      <c r="I63" s="149"/>
      <c r="J63" s="149"/>
      <c r="K63" s="149"/>
      <c r="L63" s="150">
        <f>SUM(L64:M76)</f>
        <v>105668.5</v>
      </c>
      <c r="M63" s="151"/>
      <c r="O63" s="1"/>
      <c r="Q63" s="48">
        <f>SUM(Q64:Q76)</f>
        <v>79450</v>
      </c>
      <c r="R63" s="48">
        <f>SUM(R64:R76)</f>
        <v>26218.5</v>
      </c>
      <c r="S63" s="49"/>
      <c r="T63" s="50">
        <v>1.33</v>
      </c>
    </row>
    <row r="64" spans="2:20" x14ac:dyDescent="0.35">
      <c r="B64" s="87">
        <f>B63+0.01</f>
        <v>5.01</v>
      </c>
      <c r="C64" s="88" t="s">
        <v>130</v>
      </c>
      <c r="D64" s="108" t="s">
        <v>129</v>
      </c>
      <c r="E64" s="176" t="s">
        <v>131</v>
      </c>
      <c r="F64" s="177"/>
      <c r="G64" s="178"/>
      <c r="H64" s="179" t="s">
        <v>132</v>
      </c>
      <c r="I64" s="180"/>
      <c r="J64" s="180"/>
      <c r="K64" s="181"/>
      <c r="L64" s="182">
        <v>11970</v>
      </c>
      <c r="M64" s="183"/>
      <c r="O64" s="1"/>
      <c r="Q64" s="56">
        <f>L64/$T$63</f>
        <v>9000</v>
      </c>
      <c r="R64" s="56">
        <f t="shared" ref="R64:R76" si="14">L64-Q64</f>
        <v>2970</v>
      </c>
      <c r="S64" s="57" t="s">
        <v>6</v>
      </c>
    </row>
    <row r="65" spans="2:20" x14ac:dyDescent="0.35">
      <c r="B65" s="90">
        <f t="shared" ref="B65:B76" si="15">B64+0.01</f>
        <v>5.0199999999999996</v>
      </c>
      <c r="C65" s="91" t="s">
        <v>133</v>
      </c>
      <c r="D65" s="104" t="s">
        <v>134</v>
      </c>
      <c r="E65" s="168" t="s">
        <v>131</v>
      </c>
      <c r="F65" s="169"/>
      <c r="G65" s="170"/>
      <c r="H65" s="171" t="s">
        <v>135</v>
      </c>
      <c r="I65" s="172"/>
      <c r="J65" s="172"/>
      <c r="K65" s="173"/>
      <c r="L65" s="174">
        <v>16891</v>
      </c>
      <c r="M65" s="175"/>
      <c r="O65" s="1"/>
      <c r="Q65" s="56">
        <f t="shared" ref="Q65:Q76" si="16">L65/$T$63</f>
        <v>12700</v>
      </c>
      <c r="R65" s="63">
        <f t="shared" si="14"/>
        <v>4191</v>
      </c>
      <c r="S65" s="64" t="s">
        <v>6</v>
      </c>
    </row>
    <row r="66" spans="2:20" x14ac:dyDescent="0.35">
      <c r="B66" s="90">
        <f t="shared" si="15"/>
        <v>5.0299999999999994</v>
      </c>
      <c r="C66" s="91" t="s">
        <v>136</v>
      </c>
      <c r="D66" s="104" t="s">
        <v>129</v>
      </c>
      <c r="E66" s="168" t="s">
        <v>137</v>
      </c>
      <c r="F66" s="169"/>
      <c r="G66" s="170"/>
      <c r="H66" s="171" t="s">
        <v>138</v>
      </c>
      <c r="I66" s="172"/>
      <c r="J66" s="172"/>
      <c r="K66" s="173"/>
      <c r="L66" s="174">
        <v>4123</v>
      </c>
      <c r="M66" s="175"/>
      <c r="O66" s="1"/>
      <c r="Q66" s="56">
        <f t="shared" si="16"/>
        <v>3100</v>
      </c>
      <c r="R66" s="63">
        <f t="shared" si="14"/>
        <v>1023</v>
      </c>
      <c r="S66" s="64" t="s">
        <v>6</v>
      </c>
    </row>
    <row r="67" spans="2:20" x14ac:dyDescent="0.35">
      <c r="B67" s="90">
        <f t="shared" si="15"/>
        <v>5.0399999999999991</v>
      </c>
      <c r="C67" s="91" t="s">
        <v>139</v>
      </c>
      <c r="D67" s="104" t="s">
        <v>134</v>
      </c>
      <c r="E67" s="168" t="s">
        <v>137</v>
      </c>
      <c r="F67" s="169"/>
      <c r="G67" s="170"/>
      <c r="H67" s="171" t="s">
        <v>140</v>
      </c>
      <c r="I67" s="172"/>
      <c r="J67" s="172"/>
      <c r="K67" s="173"/>
      <c r="L67" s="174">
        <v>6118</v>
      </c>
      <c r="M67" s="175"/>
      <c r="O67" s="1"/>
      <c r="Q67" s="56">
        <f t="shared" si="16"/>
        <v>4600</v>
      </c>
      <c r="R67" s="63">
        <f t="shared" si="14"/>
        <v>1518</v>
      </c>
      <c r="S67" s="64" t="s">
        <v>6</v>
      </c>
    </row>
    <row r="68" spans="2:20" x14ac:dyDescent="0.35">
      <c r="B68" s="90">
        <f t="shared" si="15"/>
        <v>5.0499999999999989</v>
      </c>
      <c r="C68" s="91" t="s">
        <v>141</v>
      </c>
      <c r="D68" s="104" t="s">
        <v>134</v>
      </c>
      <c r="E68" s="168" t="s">
        <v>137</v>
      </c>
      <c r="F68" s="169"/>
      <c r="G68" s="170"/>
      <c r="H68" s="171" t="s">
        <v>142</v>
      </c>
      <c r="I68" s="172"/>
      <c r="J68" s="172"/>
      <c r="K68" s="173"/>
      <c r="L68" s="174">
        <v>10108</v>
      </c>
      <c r="M68" s="175"/>
      <c r="O68" s="1"/>
      <c r="Q68" s="56">
        <f t="shared" si="16"/>
        <v>7600</v>
      </c>
      <c r="R68" s="63">
        <f t="shared" si="14"/>
        <v>2508</v>
      </c>
      <c r="S68" s="64" t="s">
        <v>6</v>
      </c>
    </row>
    <row r="69" spans="2:20" x14ac:dyDescent="0.35">
      <c r="B69" s="90">
        <f t="shared" si="15"/>
        <v>5.0599999999999987</v>
      </c>
      <c r="C69" s="91" t="s">
        <v>143</v>
      </c>
      <c r="D69" s="104" t="s">
        <v>129</v>
      </c>
      <c r="E69" s="168" t="s">
        <v>144</v>
      </c>
      <c r="F69" s="169"/>
      <c r="G69" s="170"/>
      <c r="H69" s="171" t="s">
        <v>138</v>
      </c>
      <c r="I69" s="172"/>
      <c r="J69" s="172"/>
      <c r="K69" s="173"/>
      <c r="L69" s="174">
        <v>4123</v>
      </c>
      <c r="M69" s="175"/>
      <c r="O69" s="1"/>
      <c r="Q69" s="56">
        <f t="shared" si="16"/>
        <v>3100</v>
      </c>
      <c r="R69" s="63">
        <f t="shared" si="14"/>
        <v>1023</v>
      </c>
      <c r="S69" s="64" t="s">
        <v>6</v>
      </c>
    </row>
    <row r="70" spans="2:20" x14ac:dyDescent="0.35">
      <c r="B70" s="90">
        <f t="shared" si="15"/>
        <v>5.0699999999999985</v>
      </c>
      <c r="C70" s="91" t="s">
        <v>145</v>
      </c>
      <c r="D70" s="104" t="s">
        <v>134</v>
      </c>
      <c r="E70" s="168" t="s">
        <v>144</v>
      </c>
      <c r="F70" s="169"/>
      <c r="G70" s="170"/>
      <c r="H70" s="171" t="s">
        <v>140</v>
      </c>
      <c r="I70" s="172"/>
      <c r="J70" s="172"/>
      <c r="K70" s="173"/>
      <c r="L70" s="174">
        <v>6118</v>
      </c>
      <c r="M70" s="175"/>
      <c r="O70" s="1"/>
      <c r="Q70" s="56">
        <f t="shared" si="16"/>
        <v>4600</v>
      </c>
      <c r="R70" s="63">
        <f t="shared" si="14"/>
        <v>1518</v>
      </c>
      <c r="S70" s="64" t="s">
        <v>6</v>
      </c>
    </row>
    <row r="71" spans="2:20" x14ac:dyDescent="0.35">
      <c r="B71" s="90">
        <f t="shared" si="15"/>
        <v>5.0799999999999983</v>
      </c>
      <c r="C71" s="91" t="s">
        <v>146</v>
      </c>
      <c r="D71" s="104" t="s">
        <v>134</v>
      </c>
      <c r="E71" s="168" t="s">
        <v>144</v>
      </c>
      <c r="F71" s="169"/>
      <c r="G71" s="170"/>
      <c r="H71" s="171" t="s">
        <v>142</v>
      </c>
      <c r="I71" s="172"/>
      <c r="J71" s="172"/>
      <c r="K71" s="173"/>
      <c r="L71" s="174">
        <v>10108</v>
      </c>
      <c r="M71" s="175"/>
      <c r="O71" s="1"/>
      <c r="Q71" s="56">
        <f t="shared" si="16"/>
        <v>7600</v>
      </c>
      <c r="R71" s="63">
        <f t="shared" si="14"/>
        <v>2508</v>
      </c>
      <c r="S71" s="64" t="s">
        <v>6</v>
      </c>
    </row>
    <row r="72" spans="2:20" x14ac:dyDescent="0.35">
      <c r="B72" s="90">
        <f t="shared" si="15"/>
        <v>5.0899999999999981</v>
      </c>
      <c r="C72" s="91" t="s">
        <v>147</v>
      </c>
      <c r="D72" s="104" t="s">
        <v>129</v>
      </c>
      <c r="E72" s="168" t="s">
        <v>148</v>
      </c>
      <c r="F72" s="169"/>
      <c r="G72" s="170"/>
      <c r="H72" s="171" t="s">
        <v>149</v>
      </c>
      <c r="I72" s="172"/>
      <c r="J72" s="172"/>
      <c r="K72" s="173"/>
      <c r="L72" s="174">
        <v>6184.5</v>
      </c>
      <c r="M72" s="175"/>
      <c r="O72" s="1"/>
      <c r="Q72" s="56">
        <f t="shared" si="16"/>
        <v>4650</v>
      </c>
      <c r="R72" s="63">
        <f t="shared" si="14"/>
        <v>1534.5</v>
      </c>
      <c r="S72" s="64" t="s">
        <v>6</v>
      </c>
    </row>
    <row r="73" spans="2:20" x14ac:dyDescent="0.35">
      <c r="B73" s="90">
        <f t="shared" si="15"/>
        <v>5.0999999999999979</v>
      </c>
      <c r="C73" s="91" t="s">
        <v>150</v>
      </c>
      <c r="D73" s="104" t="s">
        <v>134</v>
      </c>
      <c r="E73" s="168" t="s">
        <v>148</v>
      </c>
      <c r="F73" s="169"/>
      <c r="G73" s="170"/>
      <c r="H73" s="171" t="s">
        <v>151</v>
      </c>
      <c r="I73" s="172"/>
      <c r="J73" s="172"/>
      <c r="K73" s="173"/>
      <c r="L73" s="174">
        <v>10906</v>
      </c>
      <c r="M73" s="175"/>
      <c r="O73" s="1"/>
      <c r="Q73" s="56">
        <f t="shared" si="16"/>
        <v>8200</v>
      </c>
      <c r="R73" s="63">
        <f t="shared" si="14"/>
        <v>2706</v>
      </c>
      <c r="S73" s="64" t="s">
        <v>6</v>
      </c>
    </row>
    <row r="74" spans="2:20" x14ac:dyDescent="0.35">
      <c r="B74" s="90">
        <f t="shared" si="15"/>
        <v>5.1099999999999977</v>
      </c>
      <c r="C74" s="91" t="s">
        <v>152</v>
      </c>
      <c r="D74" s="104" t="s">
        <v>134</v>
      </c>
      <c r="E74" s="168" t="s">
        <v>148</v>
      </c>
      <c r="F74" s="169"/>
      <c r="G74" s="170"/>
      <c r="H74" s="171" t="s">
        <v>153</v>
      </c>
      <c r="I74" s="172"/>
      <c r="J74" s="172"/>
      <c r="K74" s="173"/>
      <c r="L74" s="174">
        <v>13699</v>
      </c>
      <c r="M74" s="175"/>
      <c r="O74" s="1"/>
      <c r="Q74" s="56">
        <f t="shared" si="16"/>
        <v>10300</v>
      </c>
      <c r="R74" s="63">
        <f t="shared" si="14"/>
        <v>3399</v>
      </c>
      <c r="S74" s="64" t="s">
        <v>6</v>
      </c>
    </row>
    <row r="75" spans="2:20" x14ac:dyDescent="0.35">
      <c r="B75" s="90">
        <f t="shared" si="15"/>
        <v>5.1199999999999974</v>
      </c>
      <c r="C75" s="91" t="s">
        <v>154</v>
      </c>
      <c r="D75" s="104" t="s">
        <v>155</v>
      </c>
      <c r="E75" s="168" t="s">
        <v>156</v>
      </c>
      <c r="F75" s="169"/>
      <c r="G75" s="170"/>
      <c r="H75" s="171" t="s">
        <v>157</v>
      </c>
      <c r="I75" s="172"/>
      <c r="J75" s="172"/>
      <c r="K75" s="173"/>
      <c r="L75" s="174">
        <v>2660</v>
      </c>
      <c r="M75" s="175"/>
      <c r="O75" s="1"/>
      <c r="Q75" s="56">
        <f t="shared" si="16"/>
        <v>2000</v>
      </c>
      <c r="R75" s="63">
        <f t="shared" si="14"/>
        <v>660</v>
      </c>
      <c r="S75" s="64" t="s">
        <v>6</v>
      </c>
    </row>
    <row r="76" spans="2:20" ht="15" thickBot="1" x14ac:dyDescent="0.4">
      <c r="B76" s="97">
        <f t="shared" si="15"/>
        <v>5.1299999999999972</v>
      </c>
      <c r="C76" s="105" t="s">
        <v>158</v>
      </c>
      <c r="D76" s="106" t="s">
        <v>155</v>
      </c>
      <c r="E76" s="160" t="s">
        <v>156</v>
      </c>
      <c r="F76" s="161"/>
      <c r="G76" s="162"/>
      <c r="H76" s="163" t="s">
        <v>159</v>
      </c>
      <c r="I76" s="164"/>
      <c r="J76" s="164"/>
      <c r="K76" s="165"/>
      <c r="L76" s="166">
        <v>2660</v>
      </c>
      <c r="M76" s="167"/>
      <c r="O76" s="1"/>
      <c r="Q76" s="56">
        <f t="shared" si="16"/>
        <v>2000</v>
      </c>
      <c r="R76" s="63">
        <f t="shared" si="14"/>
        <v>660</v>
      </c>
      <c r="S76" s="64" t="s">
        <v>6</v>
      </c>
    </row>
    <row r="77" spans="2:20" ht="6" customHeight="1" thickBot="1" x14ac:dyDescent="0.4">
      <c r="F77" s="102"/>
      <c r="G77" s="102"/>
      <c r="H77" s="107"/>
      <c r="I77" s="107"/>
      <c r="J77" s="107"/>
      <c r="K77" s="107"/>
      <c r="O77" s="1"/>
      <c r="Q77" s="72"/>
      <c r="R77" s="72"/>
      <c r="S77" s="72"/>
    </row>
    <row r="78" spans="2:20" ht="15" thickBot="1" x14ac:dyDescent="0.4">
      <c r="B78" s="45">
        <v>6</v>
      </c>
      <c r="C78" s="79" t="s">
        <v>29</v>
      </c>
      <c r="D78" s="46" t="s">
        <v>160</v>
      </c>
      <c r="E78" s="148" t="s">
        <v>117</v>
      </c>
      <c r="F78" s="148"/>
      <c r="G78" s="148"/>
      <c r="H78" s="149"/>
      <c r="I78" s="149"/>
      <c r="J78" s="149"/>
      <c r="K78" s="149"/>
      <c r="L78" s="150">
        <f>SUM(L79:M87)</f>
        <v>79705.569999999992</v>
      </c>
      <c r="M78" s="151"/>
      <c r="O78" s="1"/>
      <c r="Q78" s="48">
        <f>SUM(Q79:Q87)</f>
        <v>59929</v>
      </c>
      <c r="R78" s="48">
        <f>SUM(R79:R87)</f>
        <v>19776.570000000003</v>
      </c>
      <c r="S78" s="49"/>
      <c r="T78" s="50">
        <v>1.33</v>
      </c>
    </row>
    <row r="79" spans="2:20" x14ac:dyDescent="0.35">
      <c r="B79" s="87">
        <f>B78+0.01</f>
        <v>6.01</v>
      </c>
      <c r="C79" s="88" t="s">
        <v>161</v>
      </c>
      <c r="D79" s="108" t="s">
        <v>162</v>
      </c>
      <c r="E79" s="156" t="s">
        <v>131</v>
      </c>
      <c r="F79" s="156"/>
      <c r="G79" s="156"/>
      <c r="H79" s="157" t="s">
        <v>163</v>
      </c>
      <c r="I79" s="157"/>
      <c r="J79" s="157"/>
      <c r="K79" s="157"/>
      <c r="L79" s="158">
        <v>18447.099999999999</v>
      </c>
      <c r="M79" s="159"/>
      <c r="O79" s="1"/>
      <c r="Q79" s="56">
        <f>L79/$T$78</f>
        <v>13869.999999999998</v>
      </c>
      <c r="R79" s="56">
        <f t="shared" ref="R79:R87" si="17">L79-Q79</f>
        <v>4577.1000000000004</v>
      </c>
      <c r="S79" s="57" t="s">
        <v>7</v>
      </c>
    </row>
    <row r="80" spans="2:20" x14ac:dyDescent="0.35">
      <c r="B80" s="90">
        <f t="shared" ref="B80:B87" si="18">B79+0.01</f>
        <v>6.02</v>
      </c>
      <c r="C80" s="91" t="s">
        <v>164</v>
      </c>
      <c r="D80" s="104" t="s">
        <v>155</v>
      </c>
      <c r="E80" s="152" t="s">
        <v>131</v>
      </c>
      <c r="F80" s="152"/>
      <c r="G80" s="152"/>
      <c r="H80" s="153" t="s">
        <v>165</v>
      </c>
      <c r="I80" s="153"/>
      <c r="J80" s="153"/>
      <c r="K80" s="153"/>
      <c r="L80" s="154">
        <v>8312.5</v>
      </c>
      <c r="M80" s="155"/>
      <c r="O80" s="1"/>
      <c r="Q80" s="56">
        <f t="shared" ref="Q80:Q87" si="19">L80/$T$78</f>
        <v>6250</v>
      </c>
      <c r="R80" s="63">
        <f t="shared" si="17"/>
        <v>2062.5</v>
      </c>
      <c r="S80" s="64" t="s">
        <v>7</v>
      </c>
    </row>
    <row r="81" spans="2:20" x14ac:dyDescent="0.35">
      <c r="B81" s="90">
        <f t="shared" si="18"/>
        <v>6.0299999999999994</v>
      </c>
      <c r="C81" s="91" t="s">
        <v>166</v>
      </c>
      <c r="D81" s="104" t="s">
        <v>162</v>
      </c>
      <c r="E81" s="152" t="s">
        <v>137</v>
      </c>
      <c r="F81" s="152"/>
      <c r="G81" s="152"/>
      <c r="H81" s="153" t="s">
        <v>167</v>
      </c>
      <c r="I81" s="153"/>
      <c r="J81" s="153"/>
      <c r="K81" s="153"/>
      <c r="L81" s="154">
        <v>9047.99</v>
      </c>
      <c r="M81" s="155"/>
      <c r="O81" s="1"/>
      <c r="Q81" s="56">
        <f t="shared" si="19"/>
        <v>6802.9999999999991</v>
      </c>
      <c r="R81" s="63">
        <f t="shared" si="17"/>
        <v>2244.9900000000007</v>
      </c>
      <c r="S81" s="64" t="s">
        <v>7</v>
      </c>
    </row>
    <row r="82" spans="2:20" x14ac:dyDescent="0.35">
      <c r="B82" s="90">
        <f t="shared" si="18"/>
        <v>6.0399999999999991</v>
      </c>
      <c r="C82" s="91" t="s">
        <v>168</v>
      </c>
      <c r="D82" s="104" t="s">
        <v>155</v>
      </c>
      <c r="E82" s="152" t="s">
        <v>137</v>
      </c>
      <c r="F82" s="152"/>
      <c r="G82" s="152"/>
      <c r="H82" s="153" t="s">
        <v>169</v>
      </c>
      <c r="I82" s="153"/>
      <c r="J82" s="153"/>
      <c r="K82" s="153"/>
      <c r="L82" s="154">
        <v>5386.5</v>
      </c>
      <c r="M82" s="155"/>
      <c r="O82" s="1"/>
      <c r="Q82" s="56">
        <f t="shared" si="19"/>
        <v>4050</v>
      </c>
      <c r="R82" s="63">
        <f t="shared" si="17"/>
        <v>1336.5</v>
      </c>
      <c r="S82" s="64" t="s">
        <v>7</v>
      </c>
    </row>
    <row r="83" spans="2:20" x14ac:dyDescent="0.35">
      <c r="B83" s="90">
        <f t="shared" si="18"/>
        <v>6.0499999999999989</v>
      </c>
      <c r="C83" s="91" t="s">
        <v>170</v>
      </c>
      <c r="D83" s="104" t="s">
        <v>162</v>
      </c>
      <c r="E83" s="152" t="s">
        <v>144</v>
      </c>
      <c r="F83" s="152"/>
      <c r="G83" s="152"/>
      <c r="H83" s="153" t="s">
        <v>171</v>
      </c>
      <c r="I83" s="153"/>
      <c r="J83" s="153"/>
      <c r="K83" s="153"/>
      <c r="L83" s="154">
        <v>9047.99</v>
      </c>
      <c r="M83" s="155"/>
      <c r="O83" s="1"/>
      <c r="Q83" s="56">
        <f t="shared" si="19"/>
        <v>6802.9999999999991</v>
      </c>
      <c r="R83" s="63">
        <f t="shared" si="17"/>
        <v>2244.9900000000007</v>
      </c>
      <c r="S83" s="64" t="s">
        <v>7</v>
      </c>
    </row>
    <row r="84" spans="2:20" x14ac:dyDescent="0.35">
      <c r="B84" s="90">
        <f t="shared" si="18"/>
        <v>6.0599999999999987</v>
      </c>
      <c r="C84" s="91" t="s">
        <v>172</v>
      </c>
      <c r="D84" s="104" t="s">
        <v>155</v>
      </c>
      <c r="E84" s="152" t="s">
        <v>144</v>
      </c>
      <c r="F84" s="152"/>
      <c r="G84" s="152"/>
      <c r="H84" s="153" t="s">
        <v>173</v>
      </c>
      <c r="I84" s="153"/>
      <c r="J84" s="153"/>
      <c r="K84" s="153"/>
      <c r="L84" s="154">
        <v>1596</v>
      </c>
      <c r="M84" s="155"/>
      <c r="O84" s="1"/>
      <c r="Q84" s="56">
        <f t="shared" si="19"/>
        <v>1200</v>
      </c>
      <c r="R84" s="63">
        <f t="shared" si="17"/>
        <v>396</v>
      </c>
      <c r="S84" s="64" t="s">
        <v>7</v>
      </c>
    </row>
    <row r="85" spans="2:20" x14ac:dyDescent="0.35">
      <c r="B85" s="90">
        <f t="shared" si="18"/>
        <v>6.0699999999999985</v>
      </c>
      <c r="C85" s="91" t="s">
        <v>174</v>
      </c>
      <c r="D85" s="104" t="s">
        <v>162</v>
      </c>
      <c r="E85" s="152" t="s">
        <v>148</v>
      </c>
      <c r="F85" s="152"/>
      <c r="G85" s="152"/>
      <c r="H85" s="153" t="s">
        <v>175</v>
      </c>
      <c r="I85" s="153"/>
      <c r="J85" s="153"/>
      <c r="K85" s="153"/>
      <c r="L85" s="154">
        <v>9047.99</v>
      </c>
      <c r="M85" s="155"/>
      <c r="O85" s="1"/>
      <c r="Q85" s="56">
        <f t="shared" si="19"/>
        <v>6802.9999999999991</v>
      </c>
      <c r="R85" s="63">
        <f t="shared" si="17"/>
        <v>2244.9900000000007</v>
      </c>
      <c r="S85" s="64" t="s">
        <v>7</v>
      </c>
    </row>
    <row r="86" spans="2:20" x14ac:dyDescent="0.35">
      <c r="B86" s="90">
        <f t="shared" si="18"/>
        <v>6.0799999999999983</v>
      </c>
      <c r="C86" s="91" t="s">
        <v>176</v>
      </c>
      <c r="D86" s="104" t="s">
        <v>155</v>
      </c>
      <c r="E86" s="152" t="s">
        <v>148</v>
      </c>
      <c r="F86" s="152"/>
      <c r="G86" s="152"/>
      <c r="H86" s="153" t="s">
        <v>177</v>
      </c>
      <c r="I86" s="153"/>
      <c r="J86" s="153"/>
      <c r="K86" s="153"/>
      <c r="L86" s="154">
        <v>7514.5</v>
      </c>
      <c r="M86" s="155"/>
      <c r="O86" s="1"/>
      <c r="Q86" s="56">
        <f t="shared" si="19"/>
        <v>5650</v>
      </c>
      <c r="R86" s="63">
        <f t="shared" si="17"/>
        <v>1864.5</v>
      </c>
      <c r="S86" s="64" t="s">
        <v>7</v>
      </c>
    </row>
    <row r="87" spans="2:20" ht="15" thickBot="1" x14ac:dyDescent="0.4">
      <c r="B87" s="97">
        <f t="shared" si="18"/>
        <v>6.0899999999999981</v>
      </c>
      <c r="C87" s="105" t="s">
        <v>178</v>
      </c>
      <c r="D87" s="106" t="s">
        <v>179</v>
      </c>
      <c r="E87" s="147" t="s">
        <v>180</v>
      </c>
      <c r="F87" s="147"/>
      <c r="G87" s="147"/>
      <c r="H87" s="140" t="s">
        <v>181</v>
      </c>
      <c r="I87" s="140"/>
      <c r="J87" s="140"/>
      <c r="K87" s="140"/>
      <c r="L87" s="141">
        <v>11305</v>
      </c>
      <c r="M87" s="142"/>
      <c r="O87" s="1"/>
      <c r="Q87" s="56">
        <f t="shared" si="19"/>
        <v>8500</v>
      </c>
      <c r="R87" s="63">
        <f t="shared" si="17"/>
        <v>2805</v>
      </c>
      <c r="S87" s="64" t="s">
        <v>7</v>
      </c>
    </row>
    <row r="88" spans="2:20" ht="6" customHeight="1" thickBot="1" x14ac:dyDescent="0.4">
      <c r="C88" s="109"/>
      <c r="H88" s="107"/>
      <c r="I88" s="107"/>
      <c r="J88" s="107"/>
      <c r="K88" s="107"/>
      <c r="O88" s="1"/>
      <c r="Q88" s="72"/>
      <c r="R88" s="72"/>
      <c r="S88" s="72"/>
    </row>
    <row r="89" spans="2:20" ht="15" thickBot="1" x14ac:dyDescent="0.4">
      <c r="B89" s="45">
        <v>7</v>
      </c>
      <c r="C89" s="79" t="s">
        <v>29</v>
      </c>
      <c r="D89" s="46" t="s">
        <v>182</v>
      </c>
      <c r="E89" s="148"/>
      <c r="F89" s="148"/>
      <c r="G89" s="148"/>
      <c r="H89" s="149"/>
      <c r="I89" s="149"/>
      <c r="J89" s="149"/>
      <c r="K89" s="149"/>
      <c r="L89" s="150">
        <f>L90</f>
        <v>7581</v>
      </c>
      <c r="M89" s="151"/>
      <c r="O89" s="1"/>
      <c r="Q89" s="48">
        <f>Q90</f>
        <v>5700</v>
      </c>
      <c r="R89" s="48">
        <f>R90</f>
        <v>1881</v>
      </c>
      <c r="S89" s="49"/>
      <c r="T89" s="50">
        <v>1.33</v>
      </c>
    </row>
    <row r="90" spans="2:20" ht="15" thickBot="1" x14ac:dyDescent="0.4">
      <c r="B90" s="97">
        <f>B89+0.01</f>
        <v>7.01</v>
      </c>
      <c r="C90" s="110" t="s">
        <v>183</v>
      </c>
      <c r="D90" s="111" t="s">
        <v>156</v>
      </c>
      <c r="E90" s="138"/>
      <c r="F90" s="138"/>
      <c r="G90" s="139"/>
      <c r="H90" s="140" t="s">
        <v>184</v>
      </c>
      <c r="I90" s="140"/>
      <c r="J90" s="140"/>
      <c r="K90" s="140"/>
      <c r="L90" s="141">
        <v>7581</v>
      </c>
      <c r="M90" s="142"/>
      <c r="O90" s="1"/>
      <c r="Q90" s="56">
        <f>L90/$T$89</f>
        <v>5700</v>
      </c>
      <c r="R90" s="112">
        <f t="shared" ref="R90" si="20">L90-Q90</f>
        <v>1881</v>
      </c>
      <c r="S90" s="113"/>
    </row>
    <row r="91" spans="2:20" ht="15" thickBot="1" x14ac:dyDescent="0.4">
      <c r="O91" s="1"/>
    </row>
    <row r="92" spans="2:20" ht="15" thickBot="1" x14ac:dyDescent="0.4">
      <c r="C92" s="114" t="s">
        <v>185</v>
      </c>
      <c r="D92" s="115"/>
      <c r="E92" s="115"/>
      <c r="F92" s="115"/>
      <c r="G92" s="116"/>
      <c r="K92" s="117" t="s">
        <v>186</v>
      </c>
      <c r="L92" s="143">
        <f>L20+L29+L40+L56+L63+L78+L89</f>
        <v>898075.96230000001</v>
      </c>
      <c r="M92" s="144"/>
      <c r="O92" s="1"/>
      <c r="Q92" s="118">
        <f>Q20+Q29+Q40+Q56+Q63+Q78+Q89</f>
        <v>673301.62</v>
      </c>
      <c r="R92" s="119">
        <f>R20+R29+R40+R56+R63+R78+R89</f>
        <v>224774.34229999999</v>
      </c>
      <c r="S92" s="120">
        <f>L92-Q92</f>
        <v>224774.34230000002</v>
      </c>
    </row>
    <row r="93" spans="2:20" ht="15" thickBot="1" x14ac:dyDescent="0.4">
      <c r="C93" s="121" t="s">
        <v>187</v>
      </c>
      <c r="D93" s="122"/>
      <c r="E93" s="122"/>
      <c r="F93" s="122"/>
      <c r="J93" s="120"/>
      <c r="K93" s="117" t="s">
        <v>188</v>
      </c>
      <c r="L93" s="143">
        <f>(L92-L29)*0.16</f>
        <v>131786.041968</v>
      </c>
      <c r="M93" s="144"/>
      <c r="O93" s="1"/>
      <c r="Q93" s="118">
        <f>(Q92-Q29)*0.16</f>
        <v>97806.499200000006</v>
      </c>
      <c r="R93" s="118">
        <f>(R92-R29)*0.16</f>
        <v>33979.542767999999</v>
      </c>
      <c r="S93" s="120">
        <f>L93-Q93</f>
        <v>33979.542767999999</v>
      </c>
    </row>
    <row r="94" spans="2:20" ht="15" thickBot="1" x14ac:dyDescent="0.4">
      <c r="C94" s="121" t="s">
        <v>189</v>
      </c>
      <c r="D94" s="122"/>
      <c r="E94" s="122"/>
      <c r="F94" s="122"/>
      <c r="K94" s="117" t="s">
        <v>190</v>
      </c>
      <c r="L94" s="145">
        <f>L92+L93</f>
        <v>1029862.004268</v>
      </c>
      <c r="M94" s="146"/>
      <c r="O94" s="1"/>
      <c r="Q94" s="119">
        <f>Q92+Q93</f>
        <v>771108.11919999996</v>
      </c>
      <c r="R94" s="123">
        <f>L94-Q94</f>
        <v>258753.88506800006</v>
      </c>
      <c r="S94" s="120">
        <f>R93+R92</f>
        <v>258753.885068</v>
      </c>
    </row>
    <row r="95" spans="2:20" ht="6" customHeight="1" x14ac:dyDescent="0.35">
      <c r="B95" s="124"/>
      <c r="C95" s="124"/>
      <c r="D95" s="124"/>
      <c r="E95" s="124"/>
      <c r="F95" s="124"/>
      <c r="G95" s="124"/>
      <c r="H95" s="124"/>
      <c r="I95" s="124"/>
      <c r="J95" s="124"/>
      <c r="K95" s="124"/>
      <c r="L95" s="124"/>
      <c r="M95" s="124"/>
      <c r="O95" s="1"/>
    </row>
    <row r="96" spans="2:20" ht="15" customHeight="1" x14ac:dyDescent="0.35">
      <c r="O96" s="1"/>
    </row>
    <row r="97" spans="2:15" x14ac:dyDescent="0.35">
      <c r="O97" s="1"/>
    </row>
    <row r="98" spans="2:15" ht="15" thickBot="1" x14ac:dyDescent="0.4">
      <c r="B98" s="125" t="s">
        <v>191</v>
      </c>
      <c r="C98" s="125"/>
      <c r="D98" s="125"/>
      <c r="E98" s="125"/>
      <c r="F98" s="125"/>
      <c r="G98" s="125"/>
      <c r="H98" s="125"/>
      <c r="I98" s="125"/>
      <c r="J98" s="125"/>
      <c r="K98" s="125"/>
      <c r="L98" s="125"/>
      <c r="M98" s="125"/>
      <c r="O98" s="1"/>
    </row>
    <row r="99" spans="2:15" ht="6" customHeight="1" x14ac:dyDescent="0.35">
      <c r="O99" s="1"/>
    </row>
    <row r="100" spans="2:15" x14ac:dyDescent="0.35">
      <c r="B100" s="126" t="s">
        <v>192</v>
      </c>
      <c r="C100" s="127"/>
      <c r="D100" s="127"/>
      <c r="E100" s="127"/>
      <c r="F100" s="127"/>
      <c r="G100" s="127"/>
      <c r="H100" s="127"/>
      <c r="I100" s="127"/>
      <c r="J100" s="127"/>
      <c r="K100" s="127"/>
      <c r="L100" s="127"/>
      <c r="M100" s="128"/>
      <c r="O100" s="1"/>
    </row>
    <row r="101" spans="2:15" ht="25" customHeight="1" x14ac:dyDescent="0.35">
      <c r="B101" s="129"/>
      <c r="C101" s="130"/>
      <c r="D101" s="130"/>
      <c r="E101" s="130"/>
      <c r="F101" s="130"/>
      <c r="G101" s="130"/>
      <c r="H101" s="130"/>
      <c r="I101" s="130"/>
      <c r="J101" s="130"/>
      <c r="K101" s="130"/>
      <c r="L101" s="130"/>
      <c r="M101" s="131"/>
      <c r="O101" s="1"/>
    </row>
    <row r="102" spans="2:15" x14ac:dyDescent="0.35">
      <c r="B102" s="132"/>
      <c r="C102" s="133"/>
      <c r="D102" s="133"/>
      <c r="E102" s="133"/>
      <c r="F102" s="133"/>
      <c r="G102" s="133"/>
      <c r="H102" s="133"/>
      <c r="I102" s="133"/>
      <c r="J102" s="133"/>
      <c r="K102" s="133"/>
      <c r="L102" s="133"/>
      <c r="M102" s="134"/>
      <c r="O102" s="1"/>
    </row>
    <row r="103" spans="2:15" x14ac:dyDescent="0.35">
      <c r="B103" s="132"/>
      <c r="C103" s="133"/>
      <c r="D103" s="133"/>
      <c r="E103" s="133"/>
      <c r="F103" s="133"/>
      <c r="G103" s="133"/>
      <c r="H103" s="133"/>
      <c r="I103" s="133"/>
      <c r="J103" s="133"/>
      <c r="K103" s="133"/>
      <c r="L103" s="133"/>
      <c r="M103" s="134"/>
      <c r="O103" s="1"/>
    </row>
    <row r="104" spans="2:15" x14ac:dyDescent="0.35">
      <c r="B104" s="135"/>
      <c r="C104" s="136"/>
      <c r="D104" s="136"/>
      <c r="E104" s="136"/>
      <c r="F104" s="136"/>
      <c r="G104" s="136"/>
      <c r="H104" s="136"/>
      <c r="I104" s="136"/>
      <c r="J104" s="136"/>
      <c r="K104" s="136"/>
      <c r="L104" s="136"/>
      <c r="M104" s="137"/>
      <c r="O104" s="1"/>
    </row>
    <row r="105" spans="2:15" ht="6" customHeight="1" x14ac:dyDescent="0.35">
      <c r="B105" s="2"/>
      <c r="C105" s="2"/>
      <c r="D105" s="2"/>
      <c r="E105" s="2"/>
      <c r="F105" s="2"/>
      <c r="G105" s="2"/>
      <c r="H105" s="2"/>
      <c r="I105" s="2"/>
      <c r="J105" s="2"/>
      <c r="K105" s="2"/>
      <c r="L105" s="2"/>
      <c r="M105" s="2"/>
      <c r="O105" s="1"/>
    </row>
    <row r="106" spans="2:15" x14ac:dyDescent="0.35">
      <c r="B106" s="126" t="s">
        <v>79</v>
      </c>
      <c r="C106" s="127"/>
      <c r="D106" s="127"/>
      <c r="E106" s="127"/>
      <c r="F106" s="127"/>
      <c r="G106" s="127"/>
      <c r="H106" s="127"/>
      <c r="I106" s="127"/>
      <c r="J106" s="127"/>
      <c r="K106" s="127"/>
      <c r="L106" s="127"/>
      <c r="M106" s="128"/>
      <c r="O106" s="1"/>
    </row>
    <row r="107" spans="2:15" ht="25" customHeight="1" x14ac:dyDescent="0.35">
      <c r="B107" s="129"/>
      <c r="C107" s="130"/>
      <c r="D107" s="130"/>
      <c r="E107" s="130"/>
      <c r="F107" s="130"/>
      <c r="G107" s="130"/>
      <c r="H107" s="130"/>
      <c r="I107" s="130"/>
      <c r="J107" s="130"/>
      <c r="K107" s="130"/>
      <c r="L107" s="130"/>
      <c r="M107" s="131"/>
      <c r="O107" s="1"/>
    </row>
    <row r="108" spans="2:15" x14ac:dyDescent="0.35">
      <c r="B108" s="132"/>
      <c r="C108" s="133"/>
      <c r="D108" s="133"/>
      <c r="E108" s="133"/>
      <c r="F108" s="133"/>
      <c r="G108" s="133"/>
      <c r="H108" s="133"/>
      <c r="I108" s="133"/>
      <c r="J108" s="133"/>
      <c r="K108" s="133"/>
      <c r="L108" s="133"/>
      <c r="M108" s="134"/>
      <c r="O108" s="1"/>
    </row>
    <row r="109" spans="2:15" x14ac:dyDescent="0.35">
      <c r="B109" s="132"/>
      <c r="C109" s="133"/>
      <c r="D109" s="133"/>
      <c r="E109" s="133"/>
      <c r="F109" s="133"/>
      <c r="G109" s="133"/>
      <c r="H109" s="133"/>
      <c r="I109" s="133"/>
      <c r="J109" s="133"/>
      <c r="K109" s="133"/>
      <c r="L109" s="133"/>
      <c r="M109" s="134"/>
      <c r="O109" s="1"/>
    </row>
    <row r="110" spans="2:15" x14ac:dyDescent="0.35">
      <c r="B110" s="135"/>
      <c r="C110" s="136"/>
      <c r="D110" s="136"/>
      <c r="E110" s="136"/>
      <c r="F110" s="136"/>
      <c r="G110" s="136"/>
      <c r="H110" s="136"/>
      <c r="I110" s="136"/>
      <c r="J110" s="136"/>
      <c r="K110" s="136"/>
      <c r="L110" s="136"/>
      <c r="M110" s="137"/>
      <c r="O110" s="1"/>
    </row>
    <row r="111" spans="2:15" ht="6" customHeight="1" x14ac:dyDescent="0.35">
      <c r="B111" s="2"/>
      <c r="C111" s="2"/>
      <c r="D111" s="2"/>
      <c r="E111" s="2"/>
      <c r="F111" s="2"/>
      <c r="G111" s="2"/>
      <c r="H111" s="2"/>
      <c r="I111" s="2"/>
      <c r="J111" s="2"/>
      <c r="K111" s="2"/>
      <c r="L111" s="2"/>
      <c r="M111" s="2"/>
      <c r="O111" s="1"/>
    </row>
    <row r="112" spans="2:15" x14ac:dyDescent="0.35">
      <c r="B112" s="126" t="s">
        <v>116</v>
      </c>
      <c r="C112" s="127"/>
      <c r="D112" s="127"/>
      <c r="E112" s="127"/>
      <c r="F112" s="127"/>
      <c r="G112" s="127"/>
      <c r="H112" s="127"/>
      <c r="I112" s="127"/>
      <c r="J112" s="127"/>
      <c r="K112" s="127"/>
      <c r="L112" s="127"/>
      <c r="M112" s="128"/>
      <c r="O112" s="1"/>
    </row>
    <row r="113" spans="2:15" ht="25" customHeight="1" x14ac:dyDescent="0.35">
      <c r="B113" s="129"/>
      <c r="C113" s="130"/>
      <c r="D113" s="130"/>
      <c r="E113" s="130"/>
      <c r="F113" s="130"/>
      <c r="G113" s="130"/>
      <c r="H113" s="130"/>
      <c r="I113" s="130"/>
      <c r="J113" s="130"/>
      <c r="K113" s="130"/>
      <c r="L113" s="130"/>
      <c r="M113" s="131"/>
      <c r="O113" s="1"/>
    </row>
    <row r="114" spans="2:15" x14ac:dyDescent="0.35">
      <c r="B114" s="132"/>
      <c r="C114" s="133"/>
      <c r="D114" s="133"/>
      <c r="E114" s="133"/>
      <c r="F114" s="133"/>
      <c r="G114" s="133"/>
      <c r="H114" s="133"/>
      <c r="I114" s="133"/>
      <c r="J114" s="133"/>
      <c r="K114" s="133"/>
      <c r="L114" s="133"/>
      <c r="M114" s="134"/>
      <c r="O114" s="1"/>
    </row>
    <row r="115" spans="2:15" x14ac:dyDescent="0.35">
      <c r="B115" s="132"/>
      <c r="C115" s="133"/>
      <c r="D115" s="133"/>
      <c r="E115" s="133"/>
      <c r="F115" s="133"/>
      <c r="G115" s="133"/>
      <c r="H115" s="133"/>
      <c r="I115" s="133"/>
      <c r="J115" s="133"/>
      <c r="K115" s="133"/>
      <c r="L115" s="133"/>
      <c r="M115" s="134"/>
      <c r="O115" s="1"/>
    </row>
    <row r="116" spans="2:15" x14ac:dyDescent="0.35">
      <c r="B116" s="135"/>
      <c r="C116" s="136"/>
      <c r="D116" s="136"/>
      <c r="E116" s="136"/>
      <c r="F116" s="136"/>
      <c r="G116" s="136"/>
      <c r="H116" s="136"/>
      <c r="I116" s="136"/>
      <c r="J116" s="136"/>
      <c r="K116" s="136"/>
      <c r="L116" s="136"/>
      <c r="M116" s="137"/>
      <c r="O116" s="1"/>
    </row>
    <row r="117" spans="2:15" ht="6" customHeight="1" x14ac:dyDescent="0.35">
      <c r="B117" s="2"/>
      <c r="C117" s="2"/>
      <c r="D117" s="2"/>
      <c r="E117" s="2"/>
      <c r="F117" s="2"/>
      <c r="G117" s="2"/>
      <c r="H117" s="2"/>
      <c r="I117" s="2"/>
      <c r="J117" s="2"/>
      <c r="K117" s="2"/>
      <c r="L117" s="2"/>
      <c r="M117" s="2"/>
      <c r="O117" s="1"/>
    </row>
    <row r="118" spans="2:15" x14ac:dyDescent="0.35">
      <c r="B118" s="126" t="s">
        <v>193</v>
      </c>
      <c r="C118" s="127"/>
      <c r="D118" s="127"/>
      <c r="E118" s="127"/>
      <c r="F118" s="127"/>
      <c r="G118" s="127"/>
      <c r="H118" s="127"/>
      <c r="I118" s="127"/>
      <c r="J118" s="127"/>
      <c r="K118" s="127"/>
      <c r="L118" s="127"/>
      <c r="M118" s="128"/>
      <c r="O118" s="1"/>
    </row>
    <row r="119" spans="2:15" ht="25" customHeight="1" x14ac:dyDescent="0.35">
      <c r="B119" s="129"/>
      <c r="C119" s="130"/>
      <c r="D119" s="130"/>
      <c r="E119" s="130"/>
      <c r="F119" s="130"/>
      <c r="G119" s="130"/>
      <c r="H119" s="130"/>
      <c r="I119" s="130"/>
      <c r="J119" s="130"/>
      <c r="K119" s="130"/>
      <c r="L119" s="130"/>
      <c r="M119" s="131"/>
      <c r="O119" s="1"/>
    </row>
    <row r="120" spans="2:15" x14ac:dyDescent="0.35">
      <c r="B120" s="132"/>
      <c r="C120" s="133"/>
      <c r="D120" s="133"/>
      <c r="E120" s="133"/>
      <c r="F120" s="133"/>
      <c r="G120" s="133"/>
      <c r="H120" s="133"/>
      <c r="I120" s="133"/>
      <c r="J120" s="133"/>
      <c r="K120" s="133"/>
      <c r="L120" s="133"/>
      <c r="M120" s="134"/>
      <c r="O120" s="1"/>
    </row>
    <row r="121" spans="2:15" x14ac:dyDescent="0.35">
      <c r="B121" s="132"/>
      <c r="C121" s="133"/>
      <c r="D121" s="133"/>
      <c r="E121" s="133"/>
      <c r="F121" s="133"/>
      <c r="G121" s="133"/>
      <c r="H121" s="133"/>
      <c r="I121" s="133"/>
      <c r="J121" s="133"/>
      <c r="K121" s="133"/>
      <c r="L121" s="133"/>
      <c r="M121" s="134"/>
      <c r="O121" s="1"/>
    </row>
    <row r="122" spans="2:15" x14ac:dyDescent="0.35">
      <c r="B122" s="135"/>
      <c r="C122" s="136"/>
      <c r="D122" s="136"/>
      <c r="E122" s="136"/>
      <c r="F122" s="136"/>
      <c r="G122" s="136"/>
      <c r="H122" s="136"/>
      <c r="I122" s="136"/>
      <c r="J122" s="136"/>
      <c r="K122" s="136"/>
      <c r="L122" s="136"/>
      <c r="M122" s="137"/>
      <c r="O122" s="1"/>
    </row>
    <row r="123" spans="2:15" ht="6" customHeight="1" x14ac:dyDescent="0.35">
      <c r="B123" s="2"/>
      <c r="C123" s="2"/>
      <c r="D123" s="2"/>
      <c r="E123" s="2"/>
      <c r="F123" s="2"/>
      <c r="G123" s="2"/>
      <c r="H123" s="2"/>
      <c r="I123" s="2"/>
      <c r="J123" s="2"/>
      <c r="K123" s="2"/>
      <c r="L123" s="2"/>
      <c r="M123" s="2"/>
      <c r="O123" s="1"/>
    </row>
    <row r="124" spans="2:15" x14ac:dyDescent="0.35">
      <c r="B124" s="126" t="s">
        <v>160</v>
      </c>
      <c r="C124" s="127"/>
      <c r="D124" s="127"/>
      <c r="E124" s="127"/>
      <c r="F124" s="127"/>
      <c r="G124" s="127"/>
      <c r="H124" s="127"/>
      <c r="I124" s="127"/>
      <c r="J124" s="127"/>
      <c r="K124" s="127"/>
      <c r="L124" s="127"/>
      <c r="M124" s="128"/>
      <c r="O124" s="1"/>
    </row>
    <row r="125" spans="2:15" ht="25" customHeight="1" x14ac:dyDescent="0.35">
      <c r="B125" s="129"/>
      <c r="C125" s="130"/>
      <c r="D125" s="130"/>
      <c r="E125" s="130"/>
      <c r="F125" s="130"/>
      <c r="G125" s="130"/>
      <c r="H125" s="130"/>
      <c r="I125" s="130"/>
      <c r="J125" s="130"/>
      <c r="K125" s="130"/>
      <c r="L125" s="130"/>
      <c r="M125" s="131"/>
      <c r="O125" s="1"/>
    </row>
    <row r="126" spans="2:15" x14ac:dyDescent="0.35">
      <c r="B126" s="132"/>
      <c r="C126" s="133"/>
      <c r="D126" s="133"/>
      <c r="E126" s="133"/>
      <c r="F126" s="133"/>
      <c r="G126" s="133"/>
      <c r="H126" s="133"/>
      <c r="I126" s="133"/>
      <c r="J126" s="133"/>
      <c r="K126" s="133"/>
      <c r="L126" s="133"/>
      <c r="M126" s="134"/>
      <c r="O126" s="1"/>
    </row>
    <row r="127" spans="2:15" x14ac:dyDescent="0.35">
      <c r="B127" s="132"/>
      <c r="C127" s="133"/>
      <c r="D127" s="133"/>
      <c r="E127" s="133"/>
      <c r="F127" s="133"/>
      <c r="G127" s="133"/>
      <c r="H127" s="133"/>
      <c r="I127" s="133"/>
      <c r="J127" s="133"/>
      <c r="K127" s="133"/>
      <c r="L127" s="133"/>
      <c r="M127" s="134"/>
      <c r="O127" s="1"/>
    </row>
    <row r="128" spans="2:15" x14ac:dyDescent="0.35">
      <c r="B128" s="135"/>
      <c r="C128" s="136"/>
      <c r="D128" s="136"/>
      <c r="E128" s="136"/>
      <c r="F128" s="136"/>
      <c r="G128" s="136"/>
      <c r="H128" s="136"/>
      <c r="I128" s="136"/>
      <c r="J128" s="136"/>
      <c r="K128" s="136"/>
      <c r="L128" s="136"/>
      <c r="M128" s="137"/>
      <c r="O128" s="1"/>
    </row>
  </sheetData>
  <mergeCells count="202">
    <mergeCell ref="K7:M7"/>
    <mergeCell ref="B8:M8"/>
    <mergeCell ref="D10:E10"/>
    <mergeCell ref="G10:G12"/>
    <mergeCell ref="H10:J12"/>
    <mergeCell ref="L10:L11"/>
    <mergeCell ref="M10:M11"/>
    <mergeCell ref="D11:E11"/>
    <mergeCell ref="D12:E12"/>
    <mergeCell ref="F20:G20"/>
    <mergeCell ref="H20:K20"/>
    <mergeCell ref="L20:M20"/>
    <mergeCell ref="F21:G21"/>
    <mergeCell ref="H21:K21"/>
    <mergeCell ref="L21:M21"/>
    <mergeCell ref="B14:M14"/>
    <mergeCell ref="B15:M15"/>
    <mergeCell ref="B16:M16"/>
    <mergeCell ref="E18:H18"/>
    <mergeCell ref="L18:M18"/>
    <mergeCell ref="F19:H19"/>
    <mergeCell ref="L19:M19"/>
    <mergeCell ref="F24:G24"/>
    <mergeCell ref="H24:K24"/>
    <mergeCell ref="L24:M24"/>
    <mergeCell ref="F25:G25"/>
    <mergeCell ref="H25:K25"/>
    <mergeCell ref="L25:M25"/>
    <mergeCell ref="F22:G22"/>
    <mergeCell ref="H22:K22"/>
    <mergeCell ref="L22:M22"/>
    <mergeCell ref="F23:G23"/>
    <mergeCell ref="H23:K23"/>
    <mergeCell ref="L23:M23"/>
    <mergeCell ref="E29:G29"/>
    <mergeCell ref="H29:K29"/>
    <mergeCell ref="L29:M29"/>
    <mergeCell ref="E30:G30"/>
    <mergeCell ref="H30:K30"/>
    <mergeCell ref="L30:M30"/>
    <mergeCell ref="F26:G26"/>
    <mergeCell ref="H26:K26"/>
    <mergeCell ref="L26:M26"/>
    <mergeCell ref="F27:G27"/>
    <mergeCell ref="H27:K27"/>
    <mergeCell ref="L27:M27"/>
    <mergeCell ref="E33:G33"/>
    <mergeCell ref="H33:K33"/>
    <mergeCell ref="L33:M33"/>
    <mergeCell ref="E34:G34"/>
    <mergeCell ref="H34:K34"/>
    <mergeCell ref="L34:M34"/>
    <mergeCell ref="E31:G31"/>
    <mergeCell ref="H31:K31"/>
    <mergeCell ref="L31:M31"/>
    <mergeCell ref="E32:G32"/>
    <mergeCell ref="H32:K32"/>
    <mergeCell ref="L32:M32"/>
    <mergeCell ref="E37:G37"/>
    <mergeCell ref="H37:K37"/>
    <mergeCell ref="L37:M37"/>
    <mergeCell ref="E38:G38"/>
    <mergeCell ref="H38:K38"/>
    <mergeCell ref="L38:M38"/>
    <mergeCell ref="E35:G35"/>
    <mergeCell ref="H35:K35"/>
    <mergeCell ref="L35:M35"/>
    <mergeCell ref="E36:G36"/>
    <mergeCell ref="H36:K36"/>
    <mergeCell ref="L36:M36"/>
    <mergeCell ref="F43:J43"/>
    <mergeCell ref="L43:M43"/>
    <mergeCell ref="F44:J44"/>
    <mergeCell ref="L44:M44"/>
    <mergeCell ref="F45:J45"/>
    <mergeCell ref="L45:M45"/>
    <mergeCell ref="F40:J40"/>
    <mergeCell ref="L40:M40"/>
    <mergeCell ref="F41:J41"/>
    <mergeCell ref="L41:M41"/>
    <mergeCell ref="F42:J42"/>
    <mergeCell ref="L42:M42"/>
    <mergeCell ref="F49:J49"/>
    <mergeCell ref="L49:M49"/>
    <mergeCell ref="F50:J50"/>
    <mergeCell ref="L50:M50"/>
    <mergeCell ref="F51:J51"/>
    <mergeCell ref="L51:M51"/>
    <mergeCell ref="F46:J46"/>
    <mergeCell ref="L46:M46"/>
    <mergeCell ref="F47:J47"/>
    <mergeCell ref="L47:M47"/>
    <mergeCell ref="F48:J48"/>
    <mergeCell ref="L48:M48"/>
    <mergeCell ref="E57:G57"/>
    <mergeCell ref="H57:K57"/>
    <mergeCell ref="L57:M57"/>
    <mergeCell ref="E58:G58"/>
    <mergeCell ref="H58:K58"/>
    <mergeCell ref="L58:M58"/>
    <mergeCell ref="L52:M52"/>
    <mergeCell ref="L53:M53"/>
    <mergeCell ref="F54:J54"/>
    <mergeCell ref="L54:M54"/>
    <mergeCell ref="E56:G56"/>
    <mergeCell ref="H56:K56"/>
    <mergeCell ref="L56:M56"/>
    <mergeCell ref="E61:G61"/>
    <mergeCell ref="H61:K61"/>
    <mergeCell ref="L61:M61"/>
    <mergeCell ref="E63:G63"/>
    <mergeCell ref="H63:K63"/>
    <mergeCell ref="L63:M63"/>
    <mergeCell ref="E59:G59"/>
    <mergeCell ref="H59:K59"/>
    <mergeCell ref="L59:M59"/>
    <mergeCell ref="E60:G60"/>
    <mergeCell ref="H60:K60"/>
    <mergeCell ref="L60:M60"/>
    <mergeCell ref="E66:G66"/>
    <mergeCell ref="H66:K66"/>
    <mergeCell ref="L66:M66"/>
    <mergeCell ref="E67:G67"/>
    <mergeCell ref="H67:K67"/>
    <mergeCell ref="L67:M67"/>
    <mergeCell ref="E64:G64"/>
    <mergeCell ref="H64:K64"/>
    <mergeCell ref="L64:M64"/>
    <mergeCell ref="E65:G65"/>
    <mergeCell ref="H65:K65"/>
    <mergeCell ref="L65:M65"/>
    <mergeCell ref="E70:G70"/>
    <mergeCell ref="H70:K70"/>
    <mergeCell ref="L70:M70"/>
    <mergeCell ref="E71:G71"/>
    <mergeCell ref="H71:K71"/>
    <mergeCell ref="L71:M71"/>
    <mergeCell ref="E68:G68"/>
    <mergeCell ref="H68:K68"/>
    <mergeCell ref="L68:M68"/>
    <mergeCell ref="E69:G69"/>
    <mergeCell ref="H69:K69"/>
    <mergeCell ref="L69:M69"/>
    <mergeCell ref="E74:G74"/>
    <mergeCell ref="H74:K74"/>
    <mergeCell ref="L74:M74"/>
    <mergeCell ref="E75:G75"/>
    <mergeCell ref="H75:K75"/>
    <mergeCell ref="L75:M75"/>
    <mergeCell ref="E72:G72"/>
    <mergeCell ref="H72:K72"/>
    <mergeCell ref="L72:M72"/>
    <mergeCell ref="E73:G73"/>
    <mergeCell ref="H73:K73"/>
    <mergeCell ref="L73:M73"/>
    <mergeCell ref="E79:G79"/>
    <mergeCell ref="H79:K79"/>
    <mergeCell ref="L79:M79"/>
    <mergeCell ref="E80:G80"/>
    <mergeCell ref="H80:K80"/>
    <mergeCell ref="L80:M80"/>
    <mergeCell ref="E76:G76"/>
    <mergeCell ref="H76:K76"/>
    <mergeCell ref="L76:M76"/>
    <mergeCell ref="E78:G78"/>
    <mergeCell ref="H78:K78"/>
    <mergeCell ref="L78:M78"/>
    <mergeCell ref="E83:G83"/>
    <mergeCell ref="H83:K83"/>
    <mergeCell ref="L83:M83"/>
    <mergeCell ref="E84:G84"/>
    <mergeCell ref="H84:K84"/>
    <mergeCell ref="L84:M84"/>
    <mergeCell ref="E81:G81"/>
    <mergeCell ref="H81:K81"/>
    <mergeCell ref="L81:M81"/>
    <mergeCell ref="E82:G82"/>
    <mergeCell ref="H82:K82"/>
    <mergeCell ref="L82:M82"/>
    <mergeCell ref="E87:G87"/>
    <mergeCell ref="H87:K87"/>
    <mergeCell ref="L87:M87"/>
    <mergeCell ref="E89:G89"/>
    <mergeCell ref="H89:K89"/>
    <mergeCell ref="L89:M89"/>
    <mergeCell ref="E85:G85"/>
    <mergeCell ref="H85:K85"/>
    <mergeCell ref="L85:M85"/>
    <mergeCell ref="E86:G86"/>
    <mergeCell ref="H86:K86"/>
    <mergeCell ref="L86:M86"/>
    <mergeCell ref="B101:M104"/>
    <mergeCell ref="B107:M110"/>
    <mergeCell ref="B113:M116"/>
    <mergeCell ref="B119:M122"/>
    <mergeCell ref="B125:M128"/>
    <mergeCell ref="E90:G90"/>
    <mergeCell ref="H90:K90"/>
    <mergeCell ref="L90:M90"/>
    <mergeCell ref="L92:M92"/>
    <mergeCell ref="L93:M93"/>
    <mergeCell ref="L94:M94"/>
  </mergeCells>
  <hyperlinks>
    <hyperlink ref="D12" r:id="rId1" xr:uid="{3D199A7B-8594-46CF-B534-31C0AA8B296C}"/>
  </hyperlinks>
  <pageMargins left="0.7" right="0.7" top="0.75" bottom="0.75" header="0.3" footer="0.3"/>
  <pageSetup scale="60" orientation="portrait" r:id="rId2"/>
  <headerFooter>
    <oddHeader>&amp;R&amp;"Aptos,Regular"&amp;D</oddHeader>
    <oddFooter>&amp;R&amp;"Aptos,Regular"Página &amp;P&amp; de &amp;N</oddFooter>
  </headerFooter>
  <rowBreaks count="1" manualBreakCount="1">
    <brk id="61" max="16383" man="1"/>
  </rowBreaks>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Quote Template Empty</vt:lpstr>
      <vt:lpstr>Quote Template Filled 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Alejandro Garza</dc:creator>
  <cp:lastModifiedBy>Alejandro Garza</cp:lastModifiedBy>
  <dcterms:created xsi:type="dcterms:W3CDTF">2026-05-15T15:12:59Z</dcterms:created>
  <dcterms:modified xsi:type="dcterms:W3CDTF">2026-05-18T18:26:51Z</dcterms:modified>
</cp:coreProperties>
</file>